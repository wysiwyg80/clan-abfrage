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ruhen_Tracker" sheetId="1" state="visible" r:id="rId3"/>
    <sheet name="Turmbau_Tracker" sheetId="2" state="visible" r:id="rId4"/>
    <sheet name="Erfasste_Truhen_Feed" sheetId="3" state="visible" r:id="rId5"/>
    <sheet name="Regelwerk_Punktwerte" sheetId="4" state="visible" r:id="rId6"/>
    <sheet name="Top_5_Truhen_Könige" sheetId="5" state="visible" r:id="rId7"/>
    <sheet name="Silber_Bank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<sst xmlns="http://schemas.openxmlformats.org/spreadsheetml/2006/main" count="2012" uniqueCount="481">
  <si>
    <t xml:space="preserve">ID</t>
  </si>
  <si>
    <t xml:space="preserve">Spielername</t>
  </si>
  <si>
    <t xml:space="preserve">Rang</t>
  </si>
  <si>
    <t xml:space="preserve">Startdatum</t>
  </si>
  <si>
    <t xml:space="preserve">Unter_100M</t>
  </si>
  <si>
    <t xml:space="preserve">Ziel_Quote</t>
  </si>
  <si>
    <t xml:space="preserve">Truhen_Punkte</t>
  </si>
  <si>
    <t xml:space="preserve">Turmbau_Punkte</t>
  </si>
  <si>
    <t xml:space="preserve">Gesamt_Punkte</t>
  </si>
  <si>
    <t xml:space="preserve">Quote_Erreicht</t>
  </si>
  <si>
    <t xml:space="preserve">LegatusLabienus</t>
  </si>
  <si>
    <t xml:space="preserve">Anführer</t>
  </si>
  <si>
    <t xml:space="preserve">22.10.2026</t>
  </si>
  <si>
    <t xml:space="preserve">Nein</t>
  </si>
  <si>
    <t xml:space="preserve">man of war</t>
  </si>
  <si>
    <t xml:space="preserve">Vorgesetzter</t>
  </si>
  <si>
    <t xml:space="preserve">Miss Dire</t>
  </si>
  <si>
    <t xml:space="preserve">WYSIWYG</t>
  </si>
  <si>
    <t xml:space="preserve">LedZep2</t>
  </si>
  <si>
    <t xml:space="preserve">Frederico Freitas</t>
  </si>
  <si>
    <t xml:space="preserve">kikito</t>
  </si>
  <si>
    <t xml:space="preserve">Parvus 51</t>
  </si>
  <si>
    <t xml:space="preserve">Offizier</t>
  </si>
  <si>
    <t xml:space="preserve">Delalen</t>
  </si>
  <si>
    <t xml:space="preserve">Loki</t>
  </si>
  <si>
    <t xml:space="preserve">Gran Rex</t>
  </si>
  <si>
    <t xml:space="preserve">TECH</t>
  </si>
  <si>
    <t xml:space="preserve">Son Of Algéri</t>
  </si>
  <si>
    <t xml:space="preserve">Goll</t>
  </si>
  <si>
    <t xml:space="preserve">Tanmisis</t>
  </si>
  <si>
    <t xml:space="preserve">Veteran</t>
  </si>
  <si>
    <t xml:space="preserve">Sir spanksALot</t>
  </si>
  <si>
    <t xml:space="preserve">BAD Guo II</t>
  </si>
  <si>
    <t xml:space="preserve">Riyash</t>
  </si>
  <si>
    <t xml:space="preserve">Sir Charles</t>
  </si>
  <si>
    <t xml:space="preserve">Manador II</t>
  </si>
  <si>
    <t xml:space="preserve">Riyash CP CITY</t>
  </si>
  <si>
    <t xml:space="preserve">Magellan</t>
  </si>
  <si>
    <t xml:space="preserve">Explorer</t>
  </si>
  <si>
    <t xml:space="preserve">Samy</t>
  </si>
  <si>
    <t xml:space="preserve">DRACULA</t>
  </si>
  <si>
    <t xml:space="preserve">Osoooo</t>
  </si>
  <si>
    <t xml:space="preserve">bjar</t>
  </si>
  <si>
    <t xml:space="preserve">Biin</t>
  </si>
  <si>
    <t xml:space="preserve">Maem</t>
  </si>
  <si>
    <t xml:space="preserve">Mojo</t>
  </si>
  <si>
    <t xml:space="preserve">Kariel</t>
  </si>
  <si>
    <t xml:space="preserve">Elginan</t>
  </si>
  <si>
    <t xml:space="preserve">Auzar</t>
  </si>
  <si>
    <t xml:space="preserve">Heimdall sk</t>
  </si>
  <si>
    <t xml:space="preserve">Carruggi 5r</t>
  </si>
  <si>
    <t xml:space="preserve">Dalas</t>
  </si>
  <si>
    <t xml:space="preserve">ICHNOS</t>
  </si>
  <si>
    <t xml:space="preserve">Lee the Ugly</t>
  </si>
  <si>
    <t xml:space="preserve">kordy</t>
  </si>
  <si>
    <t xml:space="preserve">Ajax</t>
  </si>
  <si>
    <t xml:space="preserve">Granidred</t>
  </si>
  <si>
    <t xml:space="preserve">Ayar</t>
  </si>
  <si>
    <t xml:space="preserve">BELEN</t>
  </si>
  <si>
    <t xml:space="preserve">Roula</t>
  </si>
  <si>
    <t xml:space="preserve">Sirius</t>
  </si>
  <si>
    <t xml:space="preserve">gaviiCABJ</t>
  </si>
  <si>
    <t xml:space="preserve">UNVSU</t>
  </si>
  <si>
    <t xml:space="preserve">Angelina38</t>
  </si>
  <si>
    <t xml:space="preserve">eroi</t>
  </si>
  <si>
    <t xml:space="preserve">King Slayer</t>
  </si>
  <si>
    <t xml:space="preserve">invisible</t>
  </si>
  <si>
    <t xml:space="preserve">Jamaman</t>
  </si>
  <si>
    <t xml:space="preserve">Maginad</t>
  </si>
  <si>
    <t xml:space="preserve">AyBars</t>
  </si>
  <si>
    <t xml:space="preserve">PABLUS</t>
  </si>
  <si>
    <t xml:space="preserve">Ja</t>
  </si>
  <si>
    <t xml:space="preserve">Orodrafin</t>
  </si>
  <si>
    <t xml:space="preserve">Itachi</t>
  </si>
  <si>
    <t xml:space="preserve">Burigas</t>
  </si>
  <si>
    <t xml:space="preserve">Ayanin</t>
  </si>
  <si>
    <t xml:space="preserve">Greynelf</t>
  </si>
  <si>
    <t xml:space="preserve">Ria</t>
  </si>
  <si>
    <t xml:space="preserve">Vudorr</t>
  </si>
  <si>
    <t xml:space="preserve">Vudor SK6</t>
  </si>
  <si>
    <t xml:space="preserve">Sinem</t>
  </si>
  <si>
    <t xml:space="preserve">bjarr</t>
  </si>
  <si>
    <t xml:space="preserve">Soldat</t>
  </si>
  <si>
    <t xml:space="preserve">Lanfir</t>
  </si>
  <si>
    <t xml:space="preserve">Cologne am Rhein</t>
  </si>
  <si>
    <t xml:space="preserve">SaturdayNightFever</t>
  </si>
  <si>
    <t xml:space="preserve">eroi2</t>
  </si>
  <si>
    <t xml:space="preserve">Que</t>
  </si>
  <si>
    <t xml:space="preserve">Gigi</t>
  </si>
  <si>
    <t xml:space="preserve">Türme_Gebaut (Anzahl)</t>
  </si>
  <si>
    <t xml:space="preserve">Turmbau_Punkte (50 Pkt/Turm)</t>
  </si>
  <si>
    <t xml:space="preserve">Rainha de Copas</t>
  </si>
  <si>
    <t xml:space="preserve">cezar1</t>
  </si>
  <si>
    <t xml:space="preserve">Datum_Zeit</t>
  </si>
  <si>
    <t xml:space="preserve">Truhen_ID</t>
  </si>
  <si>
    <t xml:space="preserve">Kategorie_Truhenart</t>
  </si>
  <si>
    <t xml:space="preserve">Level_Typ</t>
  </si>
  <si>
    <t xml:space="preserve">Punkte_Wert</t>
  </si>
  <si>
    <t xml:space="preserve">2026-10-23 01:43</t>
  </si>
  <si>
    <t xml:space="preserve">TR-003</t>
  </si>
  <si>
    <t xml:space="preserve">Infernale Truhe</t>
  </si>
  <si>
    <t xml:space="preserve">Gruft Level 10</t>
  </si>
  <si>
    <t xml:space="preserve">2026-10-23 01:44</t>
  </si>
  <si>
    <t xml:space="preserve">TR-004</t>
  </si>
  <si>
    <t xml:space="preserve">Gruft Level 20</t>
  </si>
  <si>
    <t xml:space="preserve">TR-005</t>
  </si>
  <si>
    <t xml:space="preserve">Unionstruhe</t>
  </si>
  <si>
    <t xml:space="preserve">Persönliche Belohnung</t>
  </si>
  <si>
    <t xml:space="preserve">TR-006</t>
  </si>
  <si>
    <t xml:space="preserve">Vergessene Truhe</t>
  </si>
  <si>
    <t xml:space="preserve">Gruft Level 15</t>
  </si>
  <si>
    <t xml:space="preserve">TR-007</t>
  </si>
  <si>
    <t xml:space="preserve">Schöne Truhe</t>
  </si>
  <si>
    <t xml:space="preserve">TR-008</t>
  </si>
  <si>
    <t xml:space="preserve">Gladiatorentruhe</t>
  </si>
  <si>
    <t xml:space="preserve">Arena</t>
  </si>
  <si>
    <t xml:space="preserve">TR-009</t>
  </si>
  <si>
    <t xml:space="preserve">Gruft Level 25</t>
  </si>
  <si>
    <t xml:space="preserve">TR-010</t>
  </si>
  <si>
    <t xml:space="preserve">Knochentruhe</t>
  </si>
  <si>
    <t xml:space="preserve">TR-011</t>
  </si>
  <si>
    <t xml:space="preserve">2026-10-23 01:45</t>
  </si>
  <si>
    <t xml:space="preserve">TR-012</t>
  </si>
  <si>
    <t xml:space="preserve">Feuertruhe</t>
  </si>
  <si>
    <t xml:space="preserve">TR-013</t>
  </si>
  <si>
    <t xml:space="preserve">Truhe der Zwergen-Werkstatt</t>
  </si>
  <si>
    <t xml:space="preserve">TR-014</t>
  </si>
  <si>
    <t xml:space="preserve">Sandtruhe</t>
  </si>
  <si>
    <t xml:space="preserve">TR-015</t>
  </si>
  <si>
    <t xml:space="preserve">TR-016</t>
  </si>
  <si>
    <t xml:space="preserve">Truhe der Maya</t>
  </si>
  <si>
    <t xml:space="preserve">TR-017</t>
  </si>
  <si>
    <t xml:space="preserve">Steintruhe</t>
  </si>
  <si>
    <t xml:space="preserve">TR-018</t>
  </si>
  <si>
    <t xml:space="preserve">Saphir-Truhe</t>
  </si>
  <si>
    <t xml:space="preserve">Schatzkammer der Ahnen Level 35-39</t>
  </si>
  <si>
    <t xml:space="preserve">TR-019</t>
  </si>
  <si>
    <t xml:space="preserve">TR-020</t>
  </si>
  <si>
    <t xml:space="preserve">TR-021</t>
  </si>
  <si>
    <t xml:space="preserve">TR-022</t>
  </si>
  <si>
    <t xml:space="preserve">TR-023</t>
  </si>
  <si>
    <t xml:space="preserve">TR-024</t>
  </si>
  <si>
    <t xml:space="preserve">TR-025</t>
  </si>
  <si>
    <t xml:space="preserve">TR-026</t>
  </si>
  <si>
    <t xml:space="preserve">TR-027</t>
  </si>
  <si>
    <t xml:space="preserve">Persönliche Belohnung Union des Triumphs</t>
  </si>
  <si>
    <t xml:space="preserve">2026-10-23 01:46</t>
  </si>
  <si>
    <t xml:space="preserve">TR-028</t>
  </si>
  <si>
    <t xml:space="preserve">TR-029</t>
  </si>
  <si>
    <t xml:space="preserve">Barbarentruhe</t>
  </si>
  <si>
    <t xml:space="preserve">TR-030</t>
  </si>
  <si>
    <t xml:space="preserve">TR-031</t>
  </si>
  <si>
    <t xml:space="preserve">Schatzkammer der Ahnen Level 30-34</t>
  </si>
  <si>
    <t xml:space="preserve">TR-032</t>
  </si>
  <si>
    <t xml:space="preserve">2026-10-23 01:41</t>
  </si>
  <si>
    <t xml:space="preserve">TR-033</t>
  </si>
  <si>
    <t xml:space="preserve">TR-034</t>
  </si>
  <si>
    <t xml:space="preserve">TR-035</t>
  </si>
  <si>
    <t xml:space="preserve">TR-036</t>
  </si>
  <si>
    <t xml:space="preserve">TR-037</t>
  </si>
  <si>
    <t xml:space="preserve">TR-038</t>
  </si>
  <si>
    <t xml:space="preserve">Truhe der Kobra</t>
  </si>
  <si>
    <t xml:space="preserve">2026-10-23 01:50</t>
  </si>
  <si>
    <t xml:space="preserve">TR-039</t>
  </si>
  <si>
    <t xml:space="preserve">2026-10-23 01:56</t>
  </si>
  <si>
    <t xml:space="preserve">TR-040</t>
  </si>
  <si>
    <t xml:space="preserve">2026-10-23 01:59</t>
  </si>
  <si>
    <t xml:space="preserve">TR-041</t>
  </si>
  <si>
    <t xml:space="preserve">TR-042</t>
  </si>
  <si>
    <t xml:space="preserve">2026-10-23 02:01</t>
  </si>
  <si>
    <t xml:space="preserve">TR-043</t>
  </si>
  <si>
    <t xml:space="preserve">TR-044</t>
  </si>
  <si>
    <t xml:space="preserve">2026-10-23 01:47</t>
  </si>
  <si>
    <t xml:space="preserve">TR-045</t>
  </si>
  <si>
    <t xml:space="preserve">TR-046</t>
  </si>
  <si>
    <t xml:space="preserve">TR-047</t>
  </si>
  <si>
    <t xml:space="preserve">Truhe der Festung der Elfen</t>
  </si>
  <si>
    <t xml:space="preserve">Festung Level 30</t>
  </si>
  <si>
    <t xml:space="preserve">TR-048</t>
  </si>
  <si>
    <t xml:space="preserve">Schatzkammer der Ahnen Level 45</t>
  </si>
  <si>
    <t xml:space="preserve">TR-049</t>
  </si>
  <si>
    <t xml:space="preserve">2026-10-23 01:48</t>
  </si>
  <si>
    <t xml:space="preserve">TR-050</t>
  </si>
  <si>
    <t xml:space="preserve">Festung Level 20</t>
  </si>
  <si>
    <t xml:space="preserve">TR-051</t>
  </si>
  <si>
    <t xml:space="preserve">TR-052</t>
  </si>
  <si>
    <t xml:space="preserve">Truhe der Orks</t>
  </si>
  <si>
    <t xml:space="preserve">2026-10-23 01:49</t>
  </si>
  <si>
    <t xml:space="preserve">TR-053</t>
  </si>
  <si>
    <t xml:space="preserve">TR-054</t>
  </si>
  <si>
    <t xml:space="preserve">TR-055</t>
  </si>
  <si>
    <t xml:space="preserve">TR-056</t>
  </si>
  <si>
    <t xml:space="preserve">Truhe der Festung der Verfluchten</t>
  </si>
  <si>
    <t xml:space="preserve">TR-057</t>
  </si>
  <si>
    <t xml:space="preserve">Festung Level 25</t>
  </si>
  <si>
    <t xml:space="preserve">TR-058</t>
  </si>
  <si>
    <t xml:space="preserve">TR-059</t>
  </si>
  <si>
    <t xml:space="preserve">Festung Level 15</t>
  </si>
  <si>
    <t xml:space="preserve">TR-060</t>
  </si>
  <si>
    <t xml:space="preserve">TR-061</t>
  </si>
  <si>
    <t xml:space="preserve">TR-062</t>
  </si>
  <si>
    <t xml:space="preserve">2026-10-23 01:51</t>
  </si>
  <si>
    <t xml:space="preserve">TR-063</t>
  </si>
  <si>
    <t xml:space="preserve">TR-064</t>
  </si>
  <si>
    <t xml:space="preserve">Gruft Level 5</t>
  </si>
  <si>
    <t xml:space="preserve">TR-065</t>
  </si>
  <si>
    <t xml:space="preserve">TR-066</t>
  </si>
  <si>
    <t xml:space="preserve">Kobalt-Truhe</t>
  </si>
  <si>
    <t xml:space="preserve">Epische Gruft Level 25</t>
  </si>
  <si>
    <t xml:space="preserve">TR-067</t>
  </si>
  <si>
    <t xml:space="preserve">Seltene Drachentruhe</t>
  </si>
  <si>
    <t xml:space="preserve">Seltene Gruft Level 30</t>
  </si>
  <si>
    <t xml:space="preserve">TR-068</t>
  </si>
  <si>
    <t xml:space="preserve">TR-069</t>
  </si>
  <si>
    <t xml:space="preserve">TR-070</t>
  </si>
  <si>
    <t xml:space="preserve">TR-071</t>
  </si>
  <si>
    <t xml:space="preserve">TR-072</t>
  </si>
  <si>
    <t xml:space="preserve">TR-073</t>
  </si>
  <si>
    <t xml:space="preserve">2026-10-23 01:52</t>
  </si>
  <si>
    <t xml:space="preserve">TR-074</t>
  </si>
  <si>
    <t xml:space="preserve">TR-075</t>
  </si>
  <si>
    <t xml:space="preserve">TR-076</t>
  </si>
  <si>
    <t xml:space="preserve">TR-077</t>
  </si>
  <si>
    <t xml:space="preserve">TR-078</t>
  </si>
  <si>
    <t xml:space="preserve">TR-079</t>
  </si>
  <si>
    <t xml:space="preserve">TR-080</t>
  </si>
  <si>
    <t xml:space="preserve">TR-081</t>
  </si>
  <si>
    <t xml:space="preserve">TR-082</t>
  </si>
  <si>
    <t xml:space="preserve">TR-083</t>
  </si>
  <si>
    <t xml:space="preserve">TR-084</t>
  </si>
  <si>
    <t xml:space="preserve">2026-10-23 01:53</t>
  </si>
  <si>
    <t xml:space="preserve">TR-085</t>
  </si>
  <si>
    <t xml:space="preserve">TR-086</t>
  </si>
  <si>
    <t xml:space="preserve">TR-087</t>
  </si>
  <si>
    <t xml:space="preserve">TR-088</t>
  </si>
  <si>
    <t xml:space="preserve">TR-089</t>
  </si>
  <si>
    <t xml:space="preserve">TR-090</t>
  </si>
  <si>
    <t xml:space="preserve">TR-091</t>
  </si>
  <si>
    <t xml:space="preserve">TR-092</t>
  </si>
  <si>
    <t xml:space="preserve">TR-093</t>
  </si>
  <si>
    <t xml:space="preserve">TR-094</t>
  </si>
  <si>
    <t xml:space="preserve">TR-095</t>
  </si>
  <si>
    <t xml:space="preserve">TR-096</t>
  </si>
  <si>
    <t xml:space="preserve">TR-097</t>
  </si>
  <si>
    <t xml:space="preserve">2026-10-23 01:54</t>
  </si>
  <si>
    <t xml:space="preserve">TR-098</t>
  </si>
  <si>
    <t xml:space="preserve">TR-099</t>
  </si>
  <si>
    <t xml:space="preserve">TR-100</t>
  </si>
  <si>
    <t xml:space="preserve">TR-101</t>
  </si>
  <si>
    <t xml:space="preserve">TR-102</t>
  </si>
  <si>
    <t xml:space="preserve">Skarabäus-Truhe</t>
  </si>
  <si>
    <t xml:space="preserve">TR-103</t>
  </si>
  <si>
    <t xml:space="preserve">TR-104</t>
  </si>
  <si>
    <t xml:space="preserve">TR-105</t>
  </si>
  <si>
    <t xml:space="preserve">TR-106</t>
  </si>
  <si>
    <t xml:space="preserve">TR-107</t>
  </si>
  <si>
    <t xml:space="preserve">TR-108</t>
  </si>
  <si>
    <t xml:space="preserve">TR-109</t>
  </si>
  <si>
    <t xml:space="preserve">2026-10-23 01:55</t>
  </si>
  <si>
    <t xml:space="preserve">TR-110</t>
  </si>
  <si>
    <t xml:space="preserve">TR-111</t>
  </si>
  <si>
    <t xml:space="preserve">TR-112</t>
  </si>
  <si>
    <t xml:space="preserve">TR-113</t>
  </si>
  <si>
    <t xml:space="preserve">Schatzkammer der Ahnen Level 25-29</t>
  </si>
  <si>
    <t xml:space="preserve">TR-114</t>
  </si>
  <si>
    <t xml:space="preserve">TR-115</t>
  </si>
  <si>
    <t xml:space="preserve">TR-116</t>
  </si>
  <si>
    <t xml:space="preserve">TR-117</t>
  </si>
  <si>
    <t xml:space="preserve">TR-118</t>
  </si>
  <si>
    <t xml:space="preserve">TR-119</t>
  </si>
  <si>
    <t xml:space="preserve">TR-120</t>
  </si>
  <si>
    <t xml:space="preserve">Weiße Holztruhe</t>
  </si>
  <si>
    <t xml:space="preserve">Epische Gruft Level 15</t>
  </si>
  <si>
    <t xml:space="preserve">TR-121</t>
  </si>
  <si>
    <t xml:space="preserve">Seltene Gruft Level 25</t>
  </si>
  <si>
    <t xml:space="preserve">TR-122</t>
  </si>
  <si>
    <t xml:space="preserve">TR-123</t>
  </si>
  <si>
    <t xml:space="preserve">Truhe des Priesters</t>
  </si>
  <si>
    <t xml:space="preserve">Epische Gruft Level 20</t>
  </si>
  <si>
    <t xml:space="preserve">TR-124</t>
  </si>
  <si>
    <t xml:space="preserve">TR-125</t>
  </si>
  <si>
    <t xml:space="preserve">TR-126</t>
  </si>
  <si>
    <t xml:space="preserve">TR-127</t>
  </si>
  <si>
    <t xml:space="preserve">TR-128</t>
  </si>
  <si>
    <t xml:space="preserve">TR-129</t>
  </si>
  <si>
    <t xml:space="preserve">TR-130</t>
  </si>
  <si>
    <t xml:space="preserve">TR-131</t>
  </si>
  <si>
    <t xml:space="preserve">TR-132</t>
  </si>
  <si>
    <t xml:space="preserve">TR-133</t>
  </si>
  <si>
    <t xml:space="preserve">TR-134</t>
  </si>
  <si>
    <t xml:space="preserve">TR-135</t>
  </si>
  <si>
    <t xml:space="preserve">TR-136</t>
  </si>
  <si>
    <t xml:space="preserve">TR-137</t>
  </si>
  <si>
    <t xml:space="preserve">2026-10-23 01:57</t>
  </si>
  <si>
    <t xml:space="preserve">TR-138</t>
  </si>
  <si>
    <t xml:space="preserve">TR-139</t>
  </si>
  <si>
    <t xml:space="preserve">TR-140</t>
  </si>
  <si>
    <t xml:space="preserve">Schatzkammer der Ahnen Level 40-44</t>
  </si>
  <si>
    <t xml:space="preserve">TR-141</t>
  </si>
  <si>
    <t xml:space="preserve">TR-142</t>
  </si>
  <si>
    <t xml:space="preserve">TR-143</t>
  </si>
  <si>
    <t xml:space="preserve">TR-144</t>
  </si>
  <si>
    <t xml:space="preserve">TR-145</t>
  </si>
  <si>
    <t xml:space="preserve">Kürbistruhe</t>
  </si>
  <si>
    <t xml:space="preserve">Kürbis</t>
  </si>
  <si>
    <t xml:space="preserve">TR-146</t>
  </si>
  <si>
    <t xml:space="preserve">TR-147</t>
  </si>
  <si>
    <t xml:space="preserve">TR-148</t>
  </si>
  <si>
    <t xml:space="preserve">TR-149</t>
  </si>
  <si>
    <t xml:space="preserve">TR-150</t>
  </si>
  <si>
    <t xml:space="preserve">TR-151</t>
  </si>
  <si>
    <t xml:space="preserve">TR-152</t>
  </si>
  <si>
    <t xml:space="preserve">TR-153</t>
  </si>
  <si>
    <t xml:space="preserve">TR-154</t>
  </si>
  <si>
    <t xml:space="preserve">TR-155</t>
  </si>
  <si>
    <t xml:space="preserve">TR-156</t>
  </si>
  <si>
    <t xml:space="preserve">TR-157</t>
  </si>
  <si>
    <t xml:space="preserve">TR-158</t>
  </si>
  <si>
    <t xml:space="preserve">TR-159</t>
  </si>
  <si>
    <t xml:space="preserve">TR-160</t>
  </si>
  <si>
    <t xml:space="preserve">TR-161</t>
  </si>
  <si>
    <t xml:space="preserve">2026-10-23 01:58</t>
  </si>
  <si>
    <t xml:space="preserve">TR-162</t>
  </si>
  <si>
    <t xml:space="preserve">TR-163</t>
  </si>
  <si>
    <t xml:space="preserve">TR-164</t>
  </si>
  <si>
    <t xml:space="preserve">TR-165</t>
  </si>
  <si>
    <t xml:space="preserve">TR-166</t>
  </si>
  <si>
    <t xml:space="preserve">TR-167</t>
  </si>
  <si>
    <t xml:space="preserve">TR-168</t>
  </si>
  <si>
    <t xml:space="preserve">TR-169</t>
  </si>
  <si>
    <t xml:space="preserve">TR-170</t>
  </si>
  <si>
    <t xml:space="preserve">TR-171</t>
  </si>
  <si>
    <t xml:space="preserve">TR-172</t>
  </si>
  <si>
    <t xml:space="preserve">TR-173</t>
  </si>
  <si>
    <t xml:space="preserve">TR-174</t>
  </si>
  <si>
    <t xml:space="preserve">TR-175</t>
  </si>
  <si>
    <t xml:space="preserve">TR-176</t>
  </si>
  <si>
    <t xml:space="preserve">TR-177</t>
  </si>
  <si>
    <t xml:space="preserve">Jörmungandrs Truhe</t>
  </si>
  <si>
    <t xml:space="preserve">Jörmungandr-Shop</t>
  </si>
  <si>
    <t xml:space="preserve">2026-10-23 02:00</t>
  </si>
  <si>
    <t xml:space="preserve">TR-178</t>
  </si>
  <si>
    <t xml:space="preserve">TR-179</t>
  </si>
  <si>
    <t xml:space="preserve">TR-180</t>
  </si>
  <si>
    <t xml:space="preserve">LevatusLabienus</t>
  </si>
  <si>
    <t xml:space="preserve">TR-181</t>
  </si>
  <si>
    <t xml:space="preserve">TR-182</t>
  </si>
  <si>
    <t xml:space="preserve">TR-183</t>
  </si>
  <si>
    <t xml:space="preserve">TR-184</t>
  </si>
  <si>
    <t xml:space="preserve">TR-185</t>
  </si>
  <si>
    <t xml:space="preserve">2026-10-23 02:02</t>
  </si>
  <si>
    <t xml:space="preserve">TR-186</t>
  </si>
  <si>
    <t xml:space="preserve">TR-187</t>
  </si>
  <si>
    <t xml:space="preserve">TR-188</t>
  </si>
  <si>
    <t xml:space="preserve">TR-189</t>
  </si>
  <si>
    <t xml:space="preserve">TR-190</t>
  </si>
  <si>
    <t xml:space="preserve">TR-191</t>
  </si>
  <si>
    <t xml:space="preserve">Maya-Event</t>
  </si>
  <si>
    <t xml:space="preserve">2026-10-23 02:03</t>
  </si>
  <si>
    <t xml:space="preserve">TR-192</t>
  </si>
  <si>
    <t xml:space="preserve">TR-193</t>
  </si>
  <si>
    <t xml:space="preserve">TR-194</t>
  </si>
  <si>
    <t xml:space="preserve">TR-195</t>
  </si>
  <si>
    <t xml:space="preserve">TR-196</t>
  </si>
  <si>
    <t xml:space="preserve">TR-197</t>
  </si>
  <si>
    <t xml:space="preserve">TR-198</t>
  </si>
  <si>
    <t xml:space="preserve">TR-199</t>
  </si>
  <si>
    <t xml:space="preserve">TR-200</t>
  </si>
  <si>
    <t xml:space="preserve">TR-201</t>
  </si>
  <si>
    <t xml:space="preserve">TR-202</t>
  </si>
  <si>
    <t xml:space="preserve">2026-10-23 02:04</t>
  </si>
  <si>
    <t xml:space="preserve">TR-203</t>
  </si>
  <si>
    <t xml:space="preserve">Trillium-Truhe</t>
  </si>
  <si>
    <t xml:space="preserve">TR-204</t>
  </si>
  <si>
    <t xml:space="preserve">TR-205</t>
  </si>
  <si>
    <t xml:space="preserve">TR-206</t>
  </si>
  <si>
    <t xml:space="preserve">TR-207</t>
  </si>
  <si>
    <t xml:space="preserve">TR-208</t>
  </si>
  <si>
    <t xml:space="preserve">TR-209</t>
  </si>
  <si>
    <t xml:space="preserve">TR-210</t>
  </si>
  <si>
    <t xml:space="preserve">TR-211</t>
  </si>
  <si>
    <t xml:space="preserve">2026-10-23 02:05</t>
  </si>
  <si>
    <t xml:space="preserve">TR-212</t>
  </si>
  <si>
    <t xml:space="preserve">TR-213</t>
  </si>
  <si>
    <t xml:space="preserve">TR-214</t>
  </si>
  <si>
    <t xml:space="preserve">Truhe des Hauses des Schreckens</t>
  </si>
  <si>
    <t xml:space="preserve">Haus des Schreckens Event</t>
  </si>
  <si>
    <t xml:space="preserve">TR-215</t>
  </si>
  <si>
    <t xml:space="preserve">Epische Gruft Level 35</t>
  </si>
  <si>
    <t xml:space="preserve">TR-216</t>
  </si>
  <si>
    <t xml:space="preserve">TR-217</t>
  </si>
  <si>
    <t xml:space="preserve">TR-218</t>
  </si>
  <si>
    <t xml:space="preserve">2026-10-23 02:06</t>
  </si>
  <si>
    <t xml:space="preserve">TR-219</t>
  </si>
  <si>
    <t xml:space="preserve">Festung Level 10</t>
  </si>
  <si>
    <t xml:space="preserve">2026-10-23 02:07</t>
  </si>
  <si>
    <t xml:space="preserve">TR-220</t>
  </si>
  <si>
    <t xml:space="preserve">TR-221</t>
  </si>
  <si>
    <t xml:space="preserve">TR-222</t>
  </si>
  <si>
    <t xml:space="preserve">TR-223</t>
  </si>
  <si>
    <t xml:space="preserve">2026-10-23 02:08</t>
  </si>
  <si>
    <t xml:space="preserve">TR-224</t>
  </si>
  <si>
    <t xml:space="preserve">Gewöhnliche Truhe des</t>
  </si>
  <si>
    <t xml:space="preserve">Clan-Wohlstand</t>
  </si>
  <si>
    <t xml:space="preserve">TR-225</t>
  </si>
  <si>
    <t xml:space="preserve">Ungewöhnliche Truhe des</t>
  </si>
  <si>
    <t xml:space="preserve">TR-226</t>
  </si>
  <si>
    <t xml:space="preserve">Seltene Truhe des Wohlstands</t>
  </si>
  <si>
    <t xml:space="preserve">TR-227</t>
  </si>
  <si>
    <t xml:space="preserve">TR-228</t>
  </si>
  <si>
    <t xml:space="preserve">Kürbis Event</t>
  </si>
  <si>
    <t xml:space="preserve">TR-229</t>
  </si>
  <si>
    <t xml:space="preserve">TR-230</t>
  </si>
  <si>
    <t xml:space="preserve">TR-231</t>
  </si>
  <si>
    <t xml:space="preserve">2026-10-23 02:09</t>
  </si>
  <si>
    <t xml:space="preserve">TR-232</t>
  </si>
  <si>
    <t xml:space="preserve">TR-233</t>
  </si>
  <si>
    <t xml:space="preserve">Geflochtene Truhe</t>
  </si>
  <si>
    <t xml:space="preserve">Epische Gruft Level 30</t>
  </si>
  <si>
    <t xml:space="preserve">TR-234</t>
  </si>
  <si>
    <t xml:space="preserve">Alte Truhe eines Kriegers</t>
  </si>
  <si>
    <t xml:space="preserve">TR-235</t>
  </si>
  <si>
    <t xml:space="preserve">Harpyien-Truhe</t>
  </si>
  <si>
    <t xml:space="preserve">TR-236</t>
  </si>
  <si>
    <t xml:space="preserve">Schildkröten-Truhe</t>
  </si>
  <si>
    <t xml:space="preserve">TR-237</t>
  </si>
  <si>
    <t xml:space="preserve">TR-238</t>
  </si>
  <si>
    <t xml:space="preserve">2026-10-23 02:10</t>
  </si>
  <si>
    <t xml:space="preserve">TR-239</t>
  </si>
  <si>
    <t xml:space="preserve">Clan-Regelwerk - Offizielle Punktewerte &amp; Turmbau</t>
  </si>
  <si>
    <t xml:space="preserve">Kategorie / Truhenart</t>
  </si>
  <si>
    <t xml:space="preserve">Level / Typ</t>
  </si>
  <si>
    <t xml:space="preserve">Punkte-Wert</t>
  </si>
  <si>
    <t xml:space="preserve">Normale Gruft</t>
  </si>
  <si>
    <t xml:space="preserve">Level 10</t>
  </si>
  <si>
    <t xml:space="preserve">Ausgeschlossen (0 Pkt)</t>
  </si>
  <si>
    <t xml:space="preserve">Level 15</t>
  </si>
  <si>
    <t xml:space="preserve">Level 20</t>
  </si>
  <si>
    <t xml:space="preserve">20 Pkt</t>
  </si>
  <si>
    <t xml:space="preserve">Level 25</t>
  </si>
  <si>
    <t xml:space="preserve">25 Pkt</t>
  </si>
  <si>
    <t xml:space="preserve">Seltene Gruft</t>
  </si>
  <si>
    <t xml:space="preserve">15 Pkt</t>
  </si>
  <si>
    <t xml:space="preserve">Level 30</t>
  </si>
  <si>
    <t xml:space="preserve">50 Pkt</t>
  </si>
  <si>
    <t xml:space="preserve">Epische Gruft</t>
  </si>
  <si>
    <t xml:space="preserve">30 Pkt</t>
  </si>
  <si>
    <t xml:space="preserve">40 Pkt</t>
  </si>
  <si>
    <t xml:space="preserve">75 Pkt</t>
  </si>
  <si>
    <t xml:space="preserve">Festung der Elfen</t>
  </si>
  <si>
    <t xml:space="preserve">Inferno-Trupp / Hydra</t>
  </si>
  <si>
    <t xml:space="preserve">Alle Level</t>
  </si>
  <si>
    <t xml:space="preserve">Event / Kürbis</t>
  </si>
  <si>
    <t xml:space="preserve">Festung der Verfluchten</t>
  </si>
  <si>
    <t xml:space="preserve">Gruft Level 20-25</t>
  </si>
  <si>
    <t xml:space="preserve">20-25 Pkt</t>
  </si>
  <si>
    <t xml:space="preserve">Gruft Level 15-25</t>
  </si>
  <si>
    <t xml:space="preserve">0-25 Pkt</t>
  </si>
  <si>
    <t xml:space="preserve">Gruft Level 10-25</t>
  </si>
  <si>
    <t xml:space="preserve">20-50 Pkt</t>
  </si>
  <si>
    <t xml:space="preserve">Gruft Level 5-25</t>
  </si>
  <si>
    <t xml:space="preserve">Epische Gruft Level 20-30</t>
  </si>
  <si>
    <t xml:space="preserve">Schatzkammer der Ahnen (Level 25-45)</t>
  </si>
  <si>
    <t xml:space="preserve">Seltene Gruft Level 25-30</t>
  </si>
  <si>
    <t xml:space="preserve">25-50 Pkt</t>
  </si>
  <si>
    <t xml:space="preserve">Epische Gruft Level 25-30</t>
  </si>
  <si>
    <t xml:space="preserve">Maya-Event / Gruft</t>
  </si>
  <si>
    <t xml:space="preserve">Persönliche Belohnung / Union</t>
  </si>
  <si>
    <t xml:space="preserve">Epische Gruft Level 15-25</t>
  </si>
  <si>
    <t xml:space="preserve">Turmbau (Spezial)</t>
  </si>
  <si>
    <t xml:space="preserve">Pro gebautem Turm</t>
  </si>
  <si>
    <t xml:space="preserve">Top 5 Clan-Mitglieder - Die meisten Punkte (Truhen + Turmbau)</t>
  </si>
  <si>
    <t xml:space="preserve">Platzierung</t>
  </si>
  <si>
    <t xml:space="preserve">Gesamt_Punkte (inkl. Turmbau)</t>
  </si>
  <si>
    <t xml:space="preserve">Platz 1</t>
  </si>
  <si>
    <t xml:space="preserve">Platz 2</t>
  </si>
  <si>
    <t xml:space="preserve">Platz 3</t>
  </si>
  <si>
    <t xml:space="preserve">Platz 4</t>
  </si>
  <si>
    <t xml:space="preserve">Platz 5</t>
  </si>
  <si>
    <t xml:space="preserve">Status / Rolle</t>
  </si>
  <si>
    <t xml:space="preserve">Hauptbank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</si>
</sst>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  <font>
      <sz val="11"/>
      <name val="Calibri"/>
      <family val="0"/>
      <charset val="1"/>
    </font>
    <font>
      <b val="true"/>
      <sz val="16"/>
      <color rgb="FF1F4E78"/>
      <name val="Calibri"/>
      <family val="0"/>
      <charset val="1"/>
    </font>
    <font>
      <b val="true"/>
      <sz val="11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5F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5F9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76"/>
  <sheetViews>
    <sheetView showFormulas="false" showGridLines="true" showRowColHeaders="true" showZeros="true" rightToLeft="false" tabSelected="true" showOutlineSymbols="true" defaultGridColor="true" view="normal" topLeftCell="E1" colorId="64" zoomScale="100" zoomScaleNormal="100" zoomScalePageLayoutView="100" workbookViewId="0">
      <selection pane="topLeft" activeCell="G5" activeCellId="0" sqref="G5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75"/>
    <col collapsed="false" customWidth="true" hidden="false" outlineLevel="0" max="2" min="2" style="1" width="24"/>
    <col collapsed="false" customWidth="true" hidden="false" outlineLevel="0" max="5" min="3" style="1" width="18"/>
    <col collapsed="false" customWidth="true" hidden="false" outlineLevel="0" max="6" min="6" style="1" width="105"/>
    <col collapsed="false" customWidth="true" hidden="false" outlineLevel="0" max="7" min="7" style="1" width="69"/>
    <col collapsed="false" customWidth="true" hidden="false" outlineLevel="0" max="8" min="8" style="1" width="50"/>
    <col collapsed="false" customWidth="true" hidden="false" outlineLevel="0" max="9" min="9" style="1" width="19"/>
    <col collapsed="false" customWidth="true" hidden="false" outlineLevel="0" max="10" min="10" style="1" width="33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customFormat="false" ht="15" hidden="false" customHeight="true" outlineLevel="0" collapsed="false">
      <c r="A2" s="3" t="n">
        <v>1</v>
      </c>
      <c r="B2" s="3" t="s">
        <v>10</v>
      </c>
      <c r="C2" s="3" t="s">
        <v>11</v>
      </c>
      <c r="D2" s="4" t="s">
        <v>12</v>
      </c>
      <c r="E2" s="3" t="s">
        <v>13</v>
      </c>
      <c r="F2" s="5" t="n">
        <f aca="false">IF(E2="Ja", 12500, 15000) * MAX(0, MIN(1, (28 - MAX(0, DATE(2026,10,22) - DATEVALUE(D2))) / 28))</f>
        <v>15000</v>
      </c>
      <c r="G2" s="5" t="n">
        <f aca="false">SUMIF(Erfasste_Truhen_Feed!C:C, B2, Erfasste_Truhen_Feed!F:F)</f>
        <v>995</v>
      </c>
      <c r="H2" s="5" t="n">
        <f aca="false">IFERROR(VLOOKUP(B2, Turmbau_Tracker!B:E, 4, FALSE()), 0)</f>
        <v>0</v>
      </c>
      <c r="I2" s="5" t="n">
        <f aca="false">G2+H2</f>
        <v>995</v>
      </c>
      <c r="J2" s="3" t="str">
        <f aca="false">IF(I2&gt;=F2, "Ja", "Nein")</f>
        <v>Nein</v>
      </c>
    </row>
    <row r="3" customFormat="false" ht="15" hidden="false" customHeight="false" outlineLevel="0" collapsed="false">
      <c r="A3" s="6" t="n">
        <v>2</v>
      </c>
      <c r="B3" s="6" t="s">
        <v>14</v>
      </c>
      <c r="C3" s="6" t="s">
        <v>15</v>
      </c>
      <c r="D3" s="4" t="s">
        <v>12</v>
      </c>
      <c r="E3" s="6" t="s">
        <v>13</v>
      </c>
      <c r="F3" s="7" t="n">
        <f aca="false">IF(E3="Ja", 12500, 15000) * MAX(0, MIN(1, (28 - MAX(0, DATE(2026,10,22) - DATEVALUE(D3))) / 28))</f>
        <v>15000</v>
      </c>
      <c r="G3" s="7" t="n">
        <f aca="false">SUMIF(Erfasste_Truhen_Feed!C:C, B3, Erfasste_Truhen_Feed!F:F)</f>
        <v>350</v>
      </c>
      <c r="H3" s="7" t="n">
        <f aca="false">IFERROR(VLOOKUP(B3, Turmbau_Tracker!B:E, 4, FALSE()), 0)</f>
        <v>0</v>
      </c>
      <c r="I3" s="7" t="n">
        <f aca="false">G3+H3</f>
        <v>350</v>
      </c>
      <c r="J3" s="6" t="str">
        <f aca="false">IF(I3&gt;=F3, "Ja", "Nein")</f>
        <v>Nein</v>
      </c>
    </row>
    <row r="4" customFormat="false" ht="15" hidden="false" customHeight="true" outlineLevel="0" collapsed="false">
      <c r="A4" s="3" t="n">
        <v>3</v>
      </c>
      <c r="B4" s="3" t="s">
        <v>16</v>
      </c>
      <c r="C4" s="3" t="s">
        <v>15</v>
      </c>
      <c r="D4" s="4" t="s">
        <v>12</v>
      </c>
      <c r="E4" s="3" t="s">
        <v>13</v>
      </c>
      <c r="F4" s="5" t="n">
        <f aca="false">IF(E4="Ja", 12500, 15000) * MAX(0, MIN(1, (28 - MAX(0, DATE(2026,10,22) - DATEVALUE(D4))) / 28))</f>
        <v>15000</v>
      </c>
      <c r="G4" s="5" t="n">
        <f aca="false">SUMIF(Erfasste_Truhen_Feed!C:C, B4, Erfasste_Truhen_Feed!F:F)</f>
        <v>225</v>
      </c>
      <c r="H4" s="5" t="n">
        <f aca="false">IFERROR(VLOOKUP(B4, Turmbau_Tracker!B:E, 4, FALSE()), 0)</f>
        <v>0</v>
      </c>
      <c r="I4" s="5" t="n">
        <f aca="false">G4+H4</f>
        <v>225</v>
      </c>
      <c r="J4" s="3" t="str">
        <f aca="false">IF(I4&gt;=F4, "Ja", "Nein")</f>
        <v>Nein</v>
      </c>
    </row>
    <row r="5" customFormat="false" ht="15" hidden="false" customHeight="true" outlineLevel="0" collapsed="false">
      <c r="A5" s="6" t="n">
        <v>4</v>
      </c>
      <c r="B5" s="6" t="s">
        <v>17</v>
      </c>
      <c r="C5" s="6" t="s">
        <v>15</v>
      </c>
      <c r="D5" s="4" t="s">
        <v>12</v>
      </c>
      <c r="E5" s="6" t="s">
        <v>13</v>
      </c>
      <c r="F5" s="7" t="n">
        <f aca="false">IF(E5="Ja", 12500, 15000) * MAX(0, MIN(1, (28 - MAX(0, DATE(2026,10,22) - DATEVALUE(D5))) / 28))</f>
        <v>15000</v>
      </c>
      <c r="G5" s="7" t="n">
        <f aca="false">SUMIF(Erfasste_Truhen_Feed!C:C, B5, Erfasste_Truhen_Feed!F:F)</f>
        <v>700</v>
      </c>
      <c r="H5" s="7" t="n">
        <f aca="false">IFERROR(VLOOKUP(B5, Turmbau_Tracker!B:E, 4, FALSE()), 0)</f>
        <v>0</v>
      </c>
      <c r="I5" s="7" t="n">
        <f aca="false">G5+H5</f>
        <v>700</v>
      </c>
      <c r="J5" s="6" t="str">
        <f aca="false">IF(I5&gt;=F5, "Ja", "Nein")</f>
        <v>Nein</v>
      </c>
    </row>
    <row r="6" customFormat="false" ht="15" hidden="false" customHeight="true" outlineLevel="0" collapsed="false">
      <c r="A6" s="3" t="n">
        <v>5</v>
      </c>
      <c r="B6" s="3" t="s">
        <v>18</v>
      </c>
      <c r="C6" s="3" t="s">
        <v>15</v>
      </c>
      <c r="D6" s="4" t="s">
        <v>12</v>
      </c>
      <c r="E6" s="3" t="s">
        <v>13</v>
      </c>
      <c r="F6" s="5" t="n">
        <f aca="false">IF(E6="Ja", 12500, 15000) * MAX(0, MIN(1, (28 - MAX(0, DATE(2026,10,22) - DATEVALUE(D6))) / 28))</f>
        <v>15000</v>
      </c>
      <c r="G6" s="5" t="n">
        <f aca="false">SUMIF(Erfasste_Truhen_Feed!C:C, B6, Erfasste_Truhen_Feed!F:F)</f>
        <v>500</v>
      </c>
      <c r="H6" s="5" t="n">
        <f aca="false">IFERROR(VLOOKUP(B6, Turmbau_Tracker!B:E, 4, FALSE()), 0)</f>
        <v>0</v>
      </c>
      <c r="I6" s="5" t="n">
        <f aca="false">G6+H6</f>
        <v>500</v>
      </c>
      <c r="J6" s="3" t="str">
        <f aca="false">IF(I6&gt;=F6, "Ja", "Nein")</f>
        <v>Nein</v>
      </c>
    </row>
    <row r="7" customFormat="false" ht="15" hidden="false" customHeight="true" outlineLevel="0" collapsed="false">
      <c r="A7" s="6" t="n">
        <v>6</v>
      </c>
      <c r="B7" s="6" t="s">
        <v>19</v>
      </c>
      <c r="C7" s="6" t="s">
        <v>15</v>
      </c>
      <c r="D7" s="4" t="s">
        <v>12</v>
      </c>
      <c r="E7" s="6" t="s">
        <v>13</v>
      </c>
      <c r="F7" s="7" t="n">
        <f aca="false">IF(E7="Ja", 12500, 15000) * MAX(0, MIN(1, (28 - MAX(0, DATE(2026,10,22) - DATEVALUE(D7))) / 28))</f>
        <v>15000</v>
      </c>
      <c r="G7" s="7" t="n">
        <f aca="false">SUMIF(Erfasste_Truhen_Feed!C:C, B7, Erfasste_Truhen_Feed!F:F)</f>
        <v>75</v>
      </c>
      <c r="H7" s="7" t="n">
        <f aca="false">IFERROR(VLOOKUP(B7, Turmbau_Tracker!B:E, 4, FALSE()), 0)</f>
        <v>0</v>
      </c>
      <c r="I7" s="7" t="n">
        <f aca="false">G7+H7</f>
        <v>75</v>
      </c>
      <c r="J7" s="6" t="str">
        <f aca="false">IF(I7&gt;=F7, "Ja", "Nein")</f>
        <v>Nein</v>
      </c>
    </row>
    <row r="8" customFormat="false" ht="15" hidden="false" customHeight="true" outlineLevel="0" collapsed="false">
      <c r="A8" s="6" t="n">
        <v>7</v>
      </c>
      <c r="B8" s="6" t="s">
        <v>20</v>
      </c>
      <c r="C8" s="6" t="s">
        <v>15</v>
      </c>
      <c r="D8" s="4" t="s">
        <v>12</v>
      </c>
      <c r="E8" s="6" t="s">
        <v>13</v>
      </c>
      <c r="F8" s="7" t="n">
        <f aca="false">IF(E8="Ja", 12500, 15000) * MAX(0, MIN(1, (28 - MAX(0, DATE(2026,10,22) - DATEVALUE(D8))) / 28))</f>
        <v>15000</v>
      </c>
      <c r="G8" s="7" t="n">
        <f aca="false">SUMIF(Erfasste_Truhen_Feed!C:C, B8, Erfasste_Truhen_Feed!F:F)</f>
        <v>300</v>
      </c>
      <c r="H8" s="7" t="n">
        <f aca="false">IFERROR(VLOOKUP(B8, Turmbau_Tracker!B:E, 4, FALSE()), 0)</f>
        <v>0</v>
      </c>
      <c r="I8" s="7" t="n">
        <f aca="false">G8+H8</f>
        <v>300</v>
      </c>
      <c r="J8" s="6" t="str">
        <f aca="false">IF(I8&gt;=F8, "Ja", "Nein")</f>
        <v>Nein</v>
      </c>
    </row>
    <row r="9" customFormat="false" ht="15" hidden="false" customHeight="true" outlineLevel="0" collapsed="false">
      <c r="A9" s="3" t="n">
        <v>8</v>
      </c>
      <c r="B9" s="3" t="s">
        <v>21</v>
      </c>
      <c r="C9" s="3" t="s">
        <v>22</v>
      </c>
      <c r="D9" s="4" t="s">
        <v>12</v>
      </c>
      <c r="E9" s="3" t="s">
        <v>13</v>
      </c>
      <c r="F9" s="5" t="n">
        <f aca="false">IF(E9="Ja", 12500, 15000) * MAX(0, MIN(1, (28 - MAX(0, DATE(2026,10,22) - DATEVALUE(D9))) / 28))</f>
        <v>15000</v>
      </c>
      <c r="G9" s="5" t="n">
        <f aca="false">SUMIF(Erfasste_Truhen_Feed!C:C, B9, Erfasste_Truhen_Feed!F:F)</f>
        <v>0</v>
      </c>
      <c r="H9" s="5" t="n">
        <f aca="false">IFERROR(VLOOKUP(B9, Turmbau_Tracker!B:E, 4, FALSE()), 0)</f>
        <v>0</v>
      </c>
      <c r="I9" s="5" t="n">
        <f aca="false">G9+H9</f>
        <v>0</v>
      </c>
      <c r="J9" s="3" t="str">
        <f aca="false">IF(I9&gt;=F9, "Ja", "Nein")</f>
        <v>Nein</v>
      </c>
    </row>
    <row r="10" customFormat="false" ht="15" hidden="false" customHeight="true" outlineLevel="0" collapsed="false">
      <c r="A10" s="6" t="n">
        <v>9</v>
      </c>
      <c r="B10" s="6" t="s">
        <v>23</v>
      </c>
      <c r="C10" s="6" t="s">
        <v>22</v>
      </c>
      <c r="D10" s="4" t="s">
        <v>12</v>
      </c>
      <c r="E10" s="6" t="s">
        <v>13</v>
      </c>
      <c r="F10" s="7" t="n">
        <f aca="false">IF(E10="Ja", 12500, 15000) * MAX(0, MIN(1, (28 - MAX(0, DATE(2026,10,22) - DATEVALUE(D10))) / 28))</f>
        <v>15000</v>
      </c>
      <c r="G10" s="7" t="n">
        <f aca="false">SUMIF(Erfasste_Truhen_Feed!C:C, B10, Erfasste_Truhen_Feed!F:F)</f>
        <v>25</v>
      </c>
      <c r="H10" s="7" t="n">
        <f aca="false">IFERROR(VLOOKUP(B10, Turmbau_Tracker!B:E, 4, FALSE()), 0)</f>
        <v>0</v>
      </c>
      <c r="I10" s="7" t="n">
        <f aca="false">G10+H10</f>
        <v>25</v>
      </c>
      <c r="J10" s="6" t="str">
        <f aca="false">IF(I10&gt;=F10, "Ja", "Nein")</f>
        <v>Nein</v>
      </c>
    </row>
    <row r="11" customFormat="false" ht="15" hidden="false" customHeight="true" outlineLevel="0" collapsed="false">
      <c r="A11" s="3" t="n">
        <v>10</v>
      </c>
      <c r="B11" s="3" t="s">
        <v>24</v>
      </c>
      <c r="C11" s="3" t="s">
        <v>22</v>
      </c>
      <c r="D11" s="4" t="s">
        <v>12</v>
      </c>
      <c r="E11" s="3" t="s">
        <v>13</v>
      </c>
      <c r="F11" s="5" t="n">
        <f aca="false">IF(E11="Ja", 12500, 15000) * MAX(0, MIN(1, (28 - MAX(0, DATE(2026,10,22) - DATEVALUE(D11))) / 28))</f>
        <v>15000</v>
      </c>
      <c r="G11" s="5" t="n">
        <f aca="false">SUMIF(Erfasste_Truhen_Feed!C:C, B11, Erfasste_Truhen_Feed!F:F)</f>
        <v>200</v>
      </c>
      <c r="H11" s="5" t="n">
        <f aca="false">IFERROR(VLOOKUP(B11, Turmbau_Tracker!B:E, 4, FALSE()), 0)</f>
        <v>0</v>
      </c>
      <c r="I11" s="5" t="n">
        <f aca="false">G11+H11</f>
        <v>200</v>
      </c>
      <c r="J11" s="3" t="str">
        <f aca="false">IF(I11&gt;=F11, "Ja", "Nein")</f>
        <v>Nein</v>
      </c>
    </row>
    <row r="12" customFormat="false" ht="15" hidden="false" customHeight="true" outlineLevel="0" collapsed="false">
      <c r="A12" s="6" t="n">
        <v>11</v>
      </c>
      <c r="B12" s="6" t="s">
        <v>25</v>
      </c>
      <c r="C12" s="6" t="s">
        <v>22</v>
      </c>
      <c r="D12" s="4" t="s">
        <v>12</v>
      </c>
      <c r="E12" s="6" t="s">
        <v>13</v>
      </c>
      <c r="F12" s="7" t="n">
        <f aca="false">IF(E12="Ja", 12500, 15000) * MAX(0, MIN(1, (28 - MAX(0, DATE(2026,10,22) - DATEVALUE(D12))) / 28))</f>
        <v>15000</v>
      </c>
      <c r="G12" s="7" t="n">
        <f aca="false">SUMIF(Erfasste_Truhen_Feed!C:C, B12, Erfasste_Truhen_Feed!F:F)</f>
        <v>65</v>
      </c>
      <c r="H12" s="7" t="n">
        <f aca="false">IFERROR(VLOOKUP(B12, Turmbau_Tracker!B:E, 4, FALSE()), 0)</f>
        <v>0</v>
      </c>
      <c r="I12" s="7" t="n">
        <f aca="false">G12+H12</f>
        <v>65</v>
      </c>
      <c r="J12" s="6" t="str">
        <f aca="false">IF(I12&gt;=F12, "Ja", "Nein")</f>
        <v>Nein</v>
      </c>
    </row>
    <row r="13" customFormat="false" ht="15" hidden="false" customHeight="true" outlineLevel="0" collapsed="false">
      <c r="A13" s="3" t="n">
        <v>12</v>
      </c>
      <c r="B13" s="3" t="s">
        <v>26</v>
      </c>
      <c r="C13" s="3" t="s">
        <v>22</v>
      </c>
      <c r="D13" s="4" t="s">
        <v>12</v>
      </c>
      <c r="E13" s="3" t="s">
        <v>13</v>
      </c>
      <c r="F13" s="5" t="n">
        <f aca="false">IF(E13="Ja", 12500, 15000) * MAX(0, MIN(1, (28 - MAX(0, DATE(2026,10,22) - DATEVALUE(D13))) / 28))</f>
        <v>15000</v>
      </c>
      <c r="G13" s="5" t="n">
        <f aca="false">SUMIF(Erfasste_Truhen_Feed!C:C, B13, Erfasste_Truhen_Feed!F:F)</f>
        <v>75</v>
      </c>
      <c r="H13" s="5" t="n">
        <f aca="false">IFERROR(VLOOKUP(B13, Turmbau_Tracker!B:E, 4, FALSE()), 0)</f>
        <v>0</v>
      </c>
      <c r="I13" s="5" t="n">
        <f aca="false">G13+H13</f>
        <v>75</v>
      </c>
      <c r="J13" s="3" t="str">
        <f aca="false">IF(I13&gt;=F13, "Ja", "Nein")</f>
        <v>Nein</v>
      </c>
    </row>
    <row r="14" customFormat="false" ht="15" hidden="false" customHeight="true" outlineLevel="0" collapsed="false">
      <c r="A14" s="6" t="n">
        <v>13</v>
      </c>
      <c r="B14" s="6" t="s">
        <v>27</v>
      </c>
      <c r="C14" s="6" t="s">
        <v>22</v>
      </c>
      <c r="D14" s="4" t="s">
        <v>12</v>
      </c>
      <c r="E14" s="6" t="s">
        <v>13</v>
      </c>
      <c r="F14" s="7" t="n">
        <f aca="false">IF(E14="Ja", 12500, 15000) * MAX(0, MIN(1, (28 - MAX(0, DATE(2026,10,22) - DATEVALUE(D14))) / 28))</f>
        <v>15000</v>
      </c>
      <c r="G14" s="7" t="n">
        <f aca="false">SUMIF(Erfasste_Truhen_Feed!C:C, B14, Erfasste_Truhen_Feed!F:F)</f>
        <v>70</v>
      </c>
      <c r="H14" s="7" t="n">
        <f aca="false">IFERROR(VLOOKUP(B14, Turmbau_Tracker!B:E, 4, FALSE()), 0)</f>
        <v>0</v>
      </c>
      <c r="I14" s="7" t="n">
        <f aca="false">G14+H14</f>
        <v>70</v>
      </c>
      <c r="J14" s="6" t="str">
        <f aca="false">IF(I14&gt;=F14, "Ja", "Nein")</f>
        <v>Nein</v>
      </c>
    </row>
    <row r="15" customFormat="false" ht="15" hidden="false" customHeight="true" outlineLevel="0" collapsed="false">
      <c r="A15" s="3" t="n">
        <v>14</v>
      </c>
      <c r="B15" s="3" t="s">
        <v>28</v>
      </c>
      <c r="C15" s="3" t="s">
        <v>22</v>
      </c>
      <c r="D15" s="4" t="s">
        <v>12</v>
      </c>
      <c r="E15" s="3" t="s">
        <v>13</v>
      </c>
      <c r="F15" s="5" t="n">
        <f aca="false">IF(E15="Ja", 12500, 15000) * MAX(0, MIN(1, (28 - MAX(0, DATE(2026,10,22) - DATEVALUE(D15))) / 28))</f>
        <v>15000</v>
      </c>
      <c r="G15" s="5" t="n">
        <f aca="false">SUMIF(Erfasste_Truhen_Feed!C:C, B15, Erfasste_Truhen_Feed!F:F)</f>
        <v>75</v>
      </c>
      <c r="H15" s="5" t="n">
        <f aca="false">IFERROR(VLOOKUP(B15, Turmbau_Tracker!B:E, 4, FALSE()), 0)</f>
        <v>0</v>
      </c>
      <c r="I15" s="5" t="n">
        <f aca="false">G15+H15</f>
        <v>75</v>
      </c>
      <c r="J15" s="3" t="str">
        <f aca="false">IF(I15&gt;=F15, "Ja", "Nein")</f>
        <v>Nein</v>
      </c>
    </row>
    <row r="16" customFormat="false" ht="15" hidden="false" customHeight="true" outlineLevel="0" collapsed="false">
      <c r="A16" s="6" t="n">
        <v>15</v>
      </c>
      <c r="B16" s="6" t="s">
        <v>29</v>
      </c>
      <c r="C16" s="6" t="s">
        <v>30</v>
      </c>
      <c r="D16" s="4" t="s">
        <v>12</v>
      </c>
      <c r="E16" s="6" t="s">
        <v>13</v>
      </c>
      <c r="F16" s="7" t="n">
        <f aca="false">IF(E16="Ja", 12500, 15000) * MAX(0, MIN(1, (28 - MAX(0, DATE(2026,10,22) - DATEVALUE(D16))) / 28))</f>
        <v>15000</v>
      </c>
      <c r="G16" s="7" t="n">
        <f aca="false">SUMIF(Erfasste_Truhen_Feed!C:C, B16, Erfasste_Truhen_Feed!F:F)</f>
        <v>75</v>
      </c>
      <c r="H16" s="7" t="n">
        <f aca="false">IFERROR(VLOOKUP(B16, Turmbau_Tracker!B:E, 4, FALSE()), 0)</f>
        <v>0</v>
      </c>
      <c r="I16" s="7" t="n">
        <f aca="false">G16+H16</f>
        <v>75</v>
      </c>
      <c r="J16" s="6" t="str">
        <f aca="false">IF(I16&gt;=F16, "Ja", "Nein")</f>
        <v>Nein</v>
      </c>
    </row>
    <row r="17" customFormat="false" ht="15" hidden="false" customHeight="true" outlineLevel="0" collapsed="false">
      <c r="A17" s="3" t="n">
        <v>16</v>
      </c>
      <c r="B17" s="3" t="s">
        <v>31</v>
      </c>
      <c r="C17" s="3" t="s">
        <v>30</v>
      </c>
      <c r="D17" s="4" t="s">
        <v>12</v>
      </c>
      <c r="E17" s="3" t="s">
        <v>13</v>
      </c>
      <c r="F17" s="5" t="n">
        <f aca="false">IF(E17="Ja", 12500, 15000) * MAX(0, MIN(1, (28 - MAX(0, DATE(2026,10,22) - DATEVALUE(D17))) / 28))</f>
        <v>15000</v>
      </c>
      <c r="G17" s="5" t="n">
        <f aca="false">SUMIF(Erfasste_Truhen_Feed!C:C, B17, Erfasste_Truhen_Feed!F:F)</f>
        <v>0</v>
      </c>
      <c r="H17" s="5" t="n">
        <f aca="false">IFERROR(VLOOKUP(B17, Turmbau_Tracker!B:E, 4, FALSE()), 0)</f>
        <v>0</v>
      </c>
      <c r="I17" s="5" t="n">
        <f aca="false">G17+H17</f>
        <v>0</v>
      </c>
      <c r="J17" s="3" t="str">
        <f aca="false">IF(I17&gt;=F17, "Ja", "Nein")</f>
        <v>Nein</v>
      </c>
    </row>
    <row r="18" customFormat="false" ht="15" hidden="false" customHeight="true" outlineLevel="0" collapsed="false">
      <c r="A18" s="6" t="n">
        <v>17</v>
      </c>
      <c r="B18" s="6" t="s">
        <v>32</v>
      </c>
      <c r="C18" s="6" t="s">
        <v>30</v>
      </c>
      <c r="D18" s="4" t="s">
        <v>12</v>
      </c>
      <c r="E18" s="6" t="s">
        <v>13</v>
      </c>
      <c r="F18" s="7" t="n">
        <f aca="false">IF(E18="Ja", 12500, 15000) * MAX(0, MIN(1, (28 - MAX(0, DATE(2026,10,22) - DATEVALUE(D18))) / 28))</f>
        <v>15000</v>
      </c>
      <c r="G18" s="7" t="n">
        <f aca="false">SUMIF(Erfasste_Truhen_Feed!C:C, B18, Erfasste_Truhen_Feed!F:F)</f>
        <v>0</v>
      </c>
      <c r="H18" s="7" t="n">
        <f aca="false">IFERROR(VLOOKUP(B18, Turmbau_Tracker!B:E, 4, FALSE()), 0)</f>
        <v>0</v>
      </c>
      <c r="I18" s="7" t="n">
        <f aca="false">G18+H18</f>
        <v>0</v>
      </c>
      <c r="J18" s="6" t="str">
        <f aca="false">IF(I18&gt;=F18, "Ja", "Nein")</f>
        <v>Nein</v>
      </c>
    </row>
    <row r="19" customFormat="false" ht="15" hidden="false" customHeight="true" outlineLevel="0" collapsed="false">
      <c r="A19" s="3" t="n">
        <v>18</v>
      </c>
      <c r="B19" s="3" t="s">
        <v>33</v>
      </c>
      <c r="C19" s="3" t="s">
        <v>30</v>
      </c>
      <c r="D19" s="4" t="s">
        <v>12</v>
      </c>
      <c r="E19" s="3" t="s">
        <v>13</v>
      </c>
      <c r="F19" s="5" t="n">
        <f aca="false">IF(E19="Ja", 12500, 15000) * MAX(0, MIN(1, (28 - MAX(0, DATE(2026,10,22) - DATEVALUE(D19))) / 28))</f>
        <v>15000</v>
      </c>
      <c r="G19" s="5" t="n">
        <f aca="false">SUMIF(Erfasste_Truhen_Feed!C:C, B19, Erfasste_Truhen_Feed!F:F)</f>
        <v>0</v>
      </c>
      <c r="H19" s="5" t="n">
        <f aca="false">IFERROR(VLOOKUP(B19, Turmbau_Tracker!B:E, 4, FALSE()), 0)</f>
        <v>0</v>
      </c>
      <c r="I19" s="5" t="n">
        <f aca="false">G19+H19</f>
        <v>0</v>
      </c>
      <c r="J19" s="3" t="str">
        <f aca="false">IF(I19&gt;=F19, "Ja", "Nein")</f>
        <v>Nein</v>
      </c>
    </row>
    <row r="20" customFormat="false" ht="15" hidden="false" customHeight="true" outlineLevel="0" collapsed="false">
      <c r="A20" s="6" t="n">
        <v>19</v>
      </c>
      <c r="B20" s="6" t="s">
        <v>34</v>
      </c>
      <c r="C20" s="6" t="s">
        <v>30</v>
      </c>
      <c r="D20" s="4" t="s">
        <v>12</v>
      </c>
      <c r="E20" s="6" t="s">
        <v>13</v>
      </c>
      <c r="F20" s="7" t="n">
        <f aca="false">IF(E20="Ja", 12500, 15000) * MAX(0, MIN(1, (28 - MAX(0, DATE(2026,10,22) - DATEVALUE(D20))) / 28))</f>
        <v>15000</v>
      </c>
      <c r="G20" s="7" t="n">
        <f aca="false">SUMIF(Erfasste_Truhen_Feed!C:C, B20, Erfasste_Truhen_Feed!F:F)</f>
        <v>200</v>
      </c>
      <c r="H20" s="7" t="n">
        <f aca="false">IFERROR(VLOOKUP(B20, Turmbau_Tracker!B:E, 4, FALSE()), 0)</f>
        <v>0</v>
      </c>
      <c r="I20" s="7" t="n">
        <f aca="false">G20+H20</f>
        <v>200</v>
      </c>
      <c r="J20" s="6" t="str">
        <f aca="false">IF(I20&gt;=F20, "Ja", "Nein")</f>
        <v>Nein</v>
      </c>
    </row>
    <row r="21" customFormat="false" ht="15" hidden="false" customHeight="true" outlineLevel="0" collapsed="false">
      <c r="A21" s="3" t="n">
        <v>20</v>
      </c>
      <c r="B21" s="3" t="s">
        <v>35</v>
      </c>
      <c r="C21" s="3" t="s">
        <v>30</v>
      </c>
      <c r="D21" s="4" t="s">
        <v>12</v>
      </c>
      <c r="E21" s="3" t="s">
        <v>13</v>
      </c>
      <c r="F21" s="5" t="n">
        <f aca="false">IF(E21="Ja", 12500, 15000) * MAX(0, MIN(1, (28 - MAX(0, DATE(2026,10,22) - DATEVALUE(D21))) / 28))</f>
        <v>15000</v>
      </c>
      <c r="G21" s="5" t="n">
        <f aca="false">SUMIF(Erfasste_Truhen_Feed!C:C, B21, Erfasste_Truhen_Feed!F:F)</f>
        <v>480</v>
      </c>
      <c r="H21" s="5" t="n">
        <f aca="false">IFERROR(VLOOKUP(B21, Turmbau_Tracker!B:E, 4, FALSE()), 0)</f>
        <v>0</v>
      </c>
      <c r="I21" s="5" t="n">
        <f aca="false">G21+H21</f>
        <v>480</v>
      </c>
      <c r="J21" s="3" t="str">
        <f aca="false">IF(I21&gt;=F21, "Ja", "Nein")</f>
        <v>Nein</v>
      </c>
    </row>
    <row r="22" customFormat="false" ht="15" hidden="false" customHeight="true" outlineLevel="0" collapsed="false">
      <c r="A22" s="6" t="n">
        <v>21</v>
      </c>
      <c r="B22" s="6" t="s">
        <v>36</v>
      </c>
      <c r="C22" s="6" t="s">
        <v>30</v>
      </c>
      <c r="D22" s="4" t="s">
        <v>12</v>
      </c>
      <c r="E22" s="6" t="s">
        <v>13</v>
      </c>
      <c r="F22" s="7" t="n">
        <f aca="false">IF(E22="Ja", 12500, 15000) * MAX(0, MIN(1, (28 - MAX(0, DATE(2026,10,22) - DATEVALUE(D22))) / 28))</f>
        <v>15000</v>
      </c>
      <c r="G22" s="7" t="n">
        <f aca="false">SUMIF(Erfasste_Truhen_Feed!C:C, B22, Erfasste_Truhen_Feed!F:F)</f>
        <v>0</v>
      </c>
      <c r="H22" s="7" t="n">
        <f aca="false">IFERROR(VLOOKUP(B22, Turmbau_Tracker!B:E, 4, FALSE()), 0)</f>
        <v>0</v>
      </c>
      <c r="I22" s="7" t="n">
        <f aca="false">G22+H22</f>
        <v>0</v>
      </c>
      <c r="J22" s="6" t="str">
        <f aca="false">IF(I22&gt;=F22, "Ja", "Nein")</f>
        <v>Nein</v>
      </c>
    </row>
    <row r="23" customFormat="false" ht="15" hidden="false" customHeight="true" outlineLevel="0" collapsed="false">
      <c r="A23" s="3" t="n">
        <v>22</v>
      </c>
      <c r="B23" s="3" t="s">
        <v>37</v>
      </c>
      <c r="C23" s="3" t="s">
        <v>30</v>
      </c>
      <c r="D23" s="4" t="s">
        <v>12</v>
      </c>
      <c r="E23" s="3" t="s">
        <v>13</v>
      </c>
      <c r="F23" s="5" t="n">
        <f aca="false">IF(E23="Ja", 12500, 15000) * MAX(0, MIN(1, (28 - MAX(0, DATE(2026,10,22) - DATEVALUE(D23))) / 28))</f>
        <v>15000</v>
      </c>
      <c r="G23" s="5" t="n">
        <f aca="false">SUMIF(Erfasste_Truhen_Feed!C:C, B23, Erfasste_Truhen_Feed!F:F)</f>
        <v>0</v>
      </c>
      <c r="H23" s="5" t="n">
        <f aca="false">IFERROR(VLOOKUP(B23, Turmbau_Tracker!B:E, 4, FALSE()), 0)</f>
        <v>0</v>
      </c>
      <c r="I23" s="5" t="n">
        <f aca="false">G23+H23</f>
        <v>0</v>
      </c>
      <c r="J23" s="3" t="str">
        <f aca="false">IF(I23&gt;=F23, "Ja", "Nein")</f>
        <v>Nein</v>
      </c>
    </row>
    <row r="24" customFormat="false" ht="15" hidden="false" customHeight="true" outlineLevel="0" collapsed="false">
      <c r="A24" s="6" t="n">
        <v>23</v>
      </c>
      <c r="B24" s="6" t="s">
        <v>38</v>
      </c>
      <c r="C24" s="6" t="s">
        <v>30</v>
      </c>
      <c r="D24" s="4" t="s">
        <v>12</v>
      </c>
      <c r="E24" s="6" t="s">
        <v>13</v>
      </c>
      <c r="F24" s="7" t="n">
        <f aca="false">IF(E24="Ja", 12500, 15000) * MAX(0, MIN(1, (28 - MAX(0, DATE(2026,10,22) - DATEVALUE(D24))) / 28))</f>
        <v>15000</v>
      </c>
      <c r="G24" s="7" t="n">
        <f aca="false">SUMIF(Erfasste_Truhen_Feed!C:C, B24, Erfasste_Truhen_Feed!F:F)</f>
        <v>0</v>
      </c>
      <c r="H24" s="7" t="n">
        <f aca="false">IFERROR(VLOOKUP(B24, Turmbau_Tracker!B:E, 4, FALSE()), 0)</f>
        <v>0</v>
      </c>
      <c r="I24" s="7" t="n">
        <f aca="false">G24+H24</f>
        <v>0</v>
      </c>
      <c r="J24" s="6" t="str">
        <f aca="false">IF(I24&gt;=F24, "Ja", "Nein")</f>
        <v>Nein</v>
      </c>
    </row>
    <row r="25" customFormat="false" ht="15" hidden="false" customHeight="true" outlineLevel="0" collapsed="false">
      <c r="A25" s="3" t="n">
        <v>24</v>
      </c>
      <c r="B25" s="3" t="s">
        <v>39</v>
      </c>
      <c r="C25" s="3" t="s">
        <v>30</v>
      </c>
      <c r="D25" s="4" t="s">
        <v>12</v>
      </c>
      <c r="E25" s="3" t="s">
        <v>13</v>
      </c>
      <c r="F25" s="5" t="n">
        <f aca="false">IF(E25="Ja", 12500, 15000) * MAX(0, MIN(1, (28 - MAX(0, DATE(2026,10,22) - DATEVALUE(D25))) / 28))</f>
        <v>15000</v>
      </c>
      <c r="G25" s="5" t="n">
        <f aca="false">SUMIF(Erfasste_Truhen_Feed!C:C, B25, Erfasste_Truhen_Feed!F:F)</f>
        <v>0</v>
      </c>
      <c r="H25" s="5" t="n">
        <f aca="false">IFERROR(VLOOKUP(B25, Turmbau_Tracker!B:E, 4, FALSE()), 0)</f>
        <v>0</v>
      </c>
      <c r="I25" s="5" t="n">
        <f aca="false">G25+H25</f>
        <v>0</v>
      </c>
      <c r="J25" s="3" t="str">
        <f aca="false">IF(I25&gt;=F25, "Ja", "Nein")</f>
        <v>Nein</v>
      </c>
    </row>
    <row r="26" customFormat="false" ht="15" hidden="false" customHeight="true" outlineLevel="0" collapsed="false">
      <c r="A26" s="6" t="n">
        <v>25</v>
      </c>
      <c r="B26" s="6" t="s">
        <v>40</v>
      </c>
      <c r="C26" s="6" t="s">
        <v>30</v>
      </c>
      <c r="D26" s="4" t="s">
        <v>12</v>
      </c>
      <c r="E26" s="6" t="s">
        <v>13</v>
      </c>
      <c r="F26" s="7" t="n">
        <f aca="false">IF(E26="Ja", 12500, 15000) * MAX(0, MIN(1, (28 - MAX(0, DATE(2026,10,22) - DATEVALUE(D26))) / 28))</f>
        <v>15000</v>
      </c>
      <c r="G26" s="7" t="n">
        <f aca="false">SUMIF(Erfasste_Truhen_Feed!C:C, B26, Erfasste_Truhen_Feed!F:F)</f>
        <v>50</v>
      </c>
      <c r="H26" s="7" t="n">
        <f aca="false">IFERROR(VLOOKUP(B26, Turmbau_Tracker!B:E, 4, FALSE()), 0)</f>
        <v>0</v>
      </c>
      <c r="I26" s="7" t="n">
        <f aca="false">G26+H26</f>
        <v>50</v>
      </c>
      <c r="J26" s="6" t="str">
        <f aca="false">IF(I26&gt;=F26, "Ja", "Nein")</f>
        <v>Nein</v>
      </c>
    </row>
    <row r="27" customFormat="false" ht="15" hidden="false" customHeight="true" outlineLevel="0" collapsed="false">
      <c r="A27" s="3" t="n">
        <v>26</v>
      </c>
      <c r="B27" s="3" t="s">
        <v>41</v>
      </c>
      <c r="C27" s="3" t="s">
        <v>30</v>
      </c>
      <c r="D27" s="4" t="s">
        <v>12</v>
      </c>
      <c r="E27" s="3" t="s">
        <v>13</v>
      </c>
      <c r="F27" s="5" t="n">
        <f aca="false">IF(E27="Ja", 12500, 15000) * MAX(0, MIN(1, (28 - MAX(0, DATE(2026,10,22) - DATEVALUE(D27))) / 28))</f>
        <v>15000</v>
      </c>
      <c r="G27" s="5" t="n">
        <f aca="false">SUMIF(Erfasste_Truhen_Feed!C:C, B27, Erfasste_Truhen_Feed!F:F)</f>
        <v>125</v>
      </c>
      <c r="H27" s="5" t="n">
        <f aca="false">IFERROR(VLOOKUP(B27, Turmbau_Tracker!B:E, 4, FALSE()), 0)</f>
        <v>0</v>
      </c>
      <c r="I27" s="5" t="n">
        <f aca="false">G27+H27</f>
        <v>125</v>
      </c>
      <c r="J27" s="3" t="str">
        <f aca="false">IF(I27&gt;=F27, "Ja", "Nein")</f>
        <v>Nein</v>
      </c>
    </row>
    <row r="28" customFormat="false" ht="15" hidden="false" customHeight="true" outlineLevel="0" collapsed="false">
      <c r="A28" s="6" t="n">
        <v>27</v>
      </c>
      <c r="B28" s="6" t="s">
        <v>42</v>
      </c>
      <c r="C28" s="6" t="s">
        <v>30</v>
      </c>
      <c r="D28" s="4" t="s">
        <v>12</v>
      </c>
      <c r="E28" s="6" t="s">
        <v>13</v>
      </c>
      <c r="F28" s="7" t="n">
        <f aca="false">IF(E28="Ja", 12500, 15000) * MAX(0, MIN(1, (28 - MAX(0, DATE(2026,10,22) - DATEVALUE(D28))) / 28))</f>
        <v>15000</v>
      </c>
      <c r="G28" s="7" t="n">
        <f aca="false">SUMIF(Erfasste_Truhen_Feed!C:C, B28, Erfasste_Truhen_Feed!F:F)</f>
        <v>50</v>
      </c>
      <c r="H28" s="7" t="n">
        <f aca="false">IFERROR(VLOOKUP(B28, Turmbau_Tracker!B:E, 4, FALSE()), 0)</f>
        <v>0</v>
      </c>
      <c r="I28" s="7" t="n">
        <f aca="false">G28+H28</f>
        <v>50</v>
      </c>
      <c r="J28" s="6" t="str">
        <f aca="false">IF(I28&gt;=F28, "Ja", "Nein")</f>
        <v>Nein</v>
      </c>
    </row>
    <row r="29" customFormat="false" ht="15" hidden="false" customHeight="true" outlineLevel="0" collapsed="false">
      <c r="A29" s="3" t="n">
        <v>28</v>
      </c>
      <c r="B29" s="3" t="s">
        <v>43</v>
      </c>
      <c r="C29" s="3" t="s">
        <v>30</v>
      </c>
      <c r="D29" s="4" t="s">
        <v>12</v>
      </c>
      <c r="E29" s="3" t="s">
        <v>13</v>
      </c>
      <c r="F29" s="5" t="n">
        <f aca="false">IF(E29="Ja", 12500, 15000) * MAX(0, MIN(1, (28 - MAX(0, DATE(2026,10,22) - DATEVALUE(D29))) / 28))</f>
        <v>15000</v>
      </c>
      <c r="G29" s="5" t="n">
        <f aca="false">SUMIF(Erfasste_Truhen_Feed!C:C, B29, Erfasste_Truhen_Feed!F:F)</f>
        <v>70</v>
      </c>
      <c r="H29" s="5" t="n">
        <f aca="false">IFERROR(VLOOKUP(B29, Turmbau_Tracker!B:E, 4, FALSE()), 0)</f>
        <v>0</v>
      </c>
      <c r="I29" s="5" t="n">
        <f aca="false">G29+H29</f>
        <v>70</v>
      </c>
      <c r="J29" s="3" t="str">
        <f aca="false">IF(I29&gt;=F29, "Ja", "Nein")</f>
        <v>Nein</v>
      </c>
    </row>
    <row r="30" customFormat="false" ht="15" hidden="false" customHeight="true" outlineLevel="0" collapsed="false">
      <c r="A30" s="6" t="n">
        <v>29</v>
      </c>
      <c r="B30" s="6" t="s">
        <v>44</v>
      </c>
      <c r="C30" s="6" t="s">
        <v>30</v>
      </c>
      <c r="D30" s="4" t="s">
        <v>12</v>
      </c>
      <c r="E30" s="6" t="s">
        <v>13</v>
      </c>
      <c r="F30" s="7" t="n">
        <f aca="false">IF(E30="Ja", 12500, 15000) * MAX(0, MIN(1, (28 - MAX(0, DATE(2026,10,22) - DATEVALUE(D30))) / 28))</f>
        <v>15000</v>
      </c>
      <c r="G30" s="7" t="n">
        <f aca="false">SUMIF(Erfasste_Truhen_Feed!C:C, B30, Erfasste_Truhen_Feed!F:F)</f>
        <v>175</v>
      </c>
      <c r="H30" s="7" t="n">
        <f aca="false">IFERROR(VLOOKUP(B30, Turmbau_Tracker!B:E, 4, FALSE()), 0)</f>
        <v>0</v>
      </c>
      <c r="I30" s="7" t="n">
        <f aca="false">G30+H30</f>
        <v>175</v>
      </c>
      <c r="J30" s="6" t="str">
        <f aca="false">IF(I30&gt;=F30, "Ja", "Nein")</f>
        <v>Nein</v>
      </c>
    </row>
    <row r="31" customFormat="false" ht="15" hidden="false" customHeight="true" outlineLevel="0" collapsed="false">
      <c r="A31" s="3" t="n">
        <v>30</v>
      </c>
      <c r="B31" s="3" t="s">
        <v>45</v>
      </c>
      <c r="C31" s="3" t="s">
        <v>30</v>
      </c>
      <c r="D31" s="4" t="s">
        <v>12</v>
      </c>
      <c r="E31" s="3" t="s">
        <v>13</v>
      </c>
      <c r="F31" s="5" t="n">
        <f aca="false">IF(E31="Ja", 12500, 15000) * MAX(0, MIN(1, (28 - MAX(0, DATE(2026,10,22) - DATEVALUE(D31))) / 28))</f>
        <v>15000</v>
      </c>
      <c r="G31" s="5" t="n">
        <f aca="false">SUMIF(Erfasste_Truhen_Feed!C:C, B31, Erfasste_Truhen_Feed!F:F)</f>
        <v>175</v>
      </c>
      <c r="H31" s="5" t="n">
        <f aca="false">IFERROR(VLOOKUP(B31, Turmbau_Tracker!B:E, 4, FALSE()), 0)</f>
        <v>0</v>
      </c>
      <c r="I31" s="5" t="n">
        <f aca="false">G31+H31</f>
        <v>175</v>
      </c>
      <c r="J31" s="3" t="str">
        <f aca="false">IF(I31&gt;=F31, "Ja", "Nein")</f>
        <v>Nein</v>
      </c>
    </row>
    <row r="32" customFormat="false" ht="15" hidden="false" customHeight="true" outlineLevel="0" collapsed="false">
      <c r="A32" s="6" t="n">
        <v>31</v>
      </c>
      <c r="B32" s="6" t="s">
        <v>46</v>
      </c>
      <c r="C32" s="6" t="s">
        <v>30</v>
      </c>
      <c r="D32" s="4" t="s">
        <v>12</v>
      </c>
      <c r="E32" s="6" t="s">
        <v>13</v>
      </c>
      <c r="F32" s="7" t="n">
        <f aca="false">IF(E32="Ja", 12500, 15000) * MAX(0, MIN(1, (28 - MAX(0, DATE(2026,10,22) - DATEVALUE(D32))) / 28))</f>
        <v>15000</v>
      </c>
      <c r="G32" s="7" t="n">
        <f aca="false">SUMIF(Erfasste_Truhen_Feed!C:C, B32, Erfasste_Truhen_Feed!F:F)</f>
        <v>75</v>
      </c>
      <c r="H32" s="7" t="n">
        <f aca="false">IFERROR(VLOOKUP(B32, Turmbau_Tracker!B:E, 4, FALSE()), 0)</f>
        <v>0</v>
      </c>
      <c r="I32" s="7" t="n">
        <f aca="false">G32+H32</f>
        <v>75</v>
      </c>
      <c r="J32" s="6" t="str">
        <f aca="false">IF(I32&gt;=F32, "Ja", "Nein")</f>
        <v>Nein</v>
      </c>
    </row>
    <row r="33" customFormat="false" ht="15" hidden="false" customHeight="true" outlineLevel="0" collapsed="false">
      <c r="A33" s="3" t="n">
        <v>32</v>
      </c>
      <c r="B33" s="3" t="s">
        <v>47</v>
      </c>
      <c r="C33" s="3" t="s">
        <v>30</v>
      </c>
      <c r="D33" s="4" t="s">
        <v>12</v>
      </c>
      <c r="E33" s="3" t="s">
        <v>13</v>
      </c>
      <c r="F33" s="5" t="n">
        <f aca="false">IF(E33="Ja", 12500, 15000) * MAX(0, MIN(1, (28 - MAX(0, DATE(2026,10,22) - DATEVALUE(D33))) / 28))</f>
        <v>15000</v>
      </c>
      <c r="G33" s="5" t="n">
        <f aca="false">SUMIF(Erfasste_Truhen_Feed!C:C, B33, Erfasste_Truhen_Feed!F:F)</f>
        <v>200</v>
      </c>
      <c r="H33" s="5" t="n">
        <f aca="false">IFERROR(VLOOKUP(B33, Turmbau_Tracker!B:E, 4, FALSE()), 0)</f>
        <v>0</v>
      </c>
      <c r="I33" s="5" t="n">
        <f aca="false">G33+H33</f>
        <v>200</v>
      </c>
      <c r="J33" s="3" t="str">
        <f aca="false">IF(I33&gt;=F33, "Ja", "Nein")</f>
        <v>Nein</v>
      </c>
    </row>
    <row r="34" customFormat="false" ht="15" hidden="false" customHeight="true" outlineLevel="0" collapsed="false">
      <c r="A34" s="6" t="n">
        <v>33</v>
      </c>
      <c r="B34" s="6" t="s">
        <v>48</v>
      </c>
      <c r="C34" s="6" t="s">
        <v>30</v>
      </c>
      <c r="D34" s="4" t="s">
        <v>12</v>
      </c>
      <c r="E34" s="6" t="s">
        <v>13</v>
      </c>
      <c r="F34" s="7" t="n">
        <f aca="false">IF(E34="Ja", 12500, 15000) * MAX(0, MIN(1, (28 - MAX(0, DATE(2026,10,22) - DATEVALUE(D34))) / 28))</f>
        <v>15000</v>
      </c>
      <c r="G34" s="7" t="n">
        <f aca="false">SUMIF(Erfasste_Truhen_Feed!C:C, B34, Erfasste_Truhen_Feed!F:F)</f>
        <v>200</v>
      </c>
      <c r="H34" s="7" t="n">
        <f aca="false">IFERROR(VLOOKUP(B34, Turmbau_Tracker!B:E, 4, FALSE()), 0)</f>
        <v>0</v>
      </c>
      <c r="I34" s="7" t="n">
        <f aca="false">G34+H34</f>
        <v>200</v>
      </c>
      <c r="J34" s="6" t="str">
        <f aca="false">IF(I34&gt;=F34, "Ja", "Nein")</f>
        <v>Nein</v>
      </c>
    </row>
    <row r="35" customFormat="false" ht="15" hidden="false" customHeight="true" outlineLevel="0" collapsed="false">
      <c r="A35" s="3" t="n">
        <v>34</v>
      </c>
      <c r="B35" s="3" t="s">
        <v>49</v>
      </c>
      <c r="C35" s="3" t="s">
        <v>30</v>
      </c>
      <c r="D35" s="4" t="s">
        <v>12</v>
      </c>
      <c r="E35" s="3" t="s">
        <v>13</v>
      </c>
      <c r="F35" s="5" t="n">
        <f aca="false">IF(E35="Ja", 12500, 15000) * MAX(0, MIN(1, (28 - MAX(0, DATE(2026,10,22) - DATEVALUE(D35))) / 28))</f>
        <v>15000</v>
      </c>
      <c r="G35" s="5" t="n">
        <f aca="false">SUMIF(Erfasste_Truhen_Feed!C:C, B35, Erfasste_Truhen_Feed!F:F)</f>
        <v>0</v>
      </c>
      <c r="H35" s="5" t="n">
        <f aca="false">IFERROR(VLOOKUP(B35, Turmbau_Tracker!B:E, 4, FALSE()), 0)</f>
        <v>0</v>
      </c>
      <c r="I35" s="5" t="n">
        <f aca="false">G35+H35</f>
        <v>0</v>
      </c>
      <c r="J35" s="3" t="str">
        <f aca="false">IF(I35&gt;=F35, "Ja", "Nein")</f>
        <v>Nein</v>
      </c>
    </row>
    <row r="36" customFormat="false" ht="15" hidden="false" customHeight="true" outlineLevel="0" collapsed="false">
      <c r="A36" s="6" t="n">
        <v>35</v>
      </c>
      <c r="B36" s="6" t="s">
        <v>50</v>
      </c>
      <c r="C36" s="6" t="s">
        <v>30</v>
      </c>
      <c r="D36" s="4" t="s">
        <v>12</v>
      </c>
      <c r="E36" s="6" t="s">
        <v>13</v>
      </c>
      <c r="F36" s="7" t="n">
        <f aca="false">IF(E36="Ja", 12500, 15000) * MAX(0, MIN(1, (28 - MAX(0, DATE(2026,10,22) - DATEVALUE(D36))) / 28))</f>
        <v>15000</v>
      </c>
      <c r="G36" s="7" t="n">
        <f aca="false">SUMIF(Erfasste_Truhen_Feed!C:C, B36, Erfasste_Truhen_Feed!F:F)</f>
        <v>0</v>
      </c>
      <c r="H36" s="7" t="n">
        <f aca="false">IFERROR(VLOOKUP(B36, Turmbau_Tracker!B:E, 4, FALSE()), 0)</f>
        <v>0</v>
      </c>
      <c r="I36" s="7" t="n">
        <f aca="false">G36+H36</f>
        <v>0</v>
      </c>
      <c r="J36" s="6" t="str">
        <f aca="false">IF(I36&gt;=F36, "Ja", "Nein")</f>
        <v>Nein</v>
      </c>
    </row>
    <row r="37" customFormat="false" ht="15" hidden="false" customHeight="true" outlineLevel="0" collapsed="false">
      <c r="A37" s="3" t="n">
        <v>36</v>
      </c>
      <c r="B37" s="3" t="s">
        <v>51</v>
      </c>
      <c r="C37" s="3" t="s">
        <v>30</v>
      </c>
      <c r="D37" s="4" t="s">
        <v>12</v>
      </c>
      <c r="E37" s="3" t="s">
        <v>13</v>
      </c>
      <c r="F37" s="5" t="n">
        <f aca="false">IF(E37="Ja", 12500, 15000) * MAX(0, MIN(1, (28 - MAX(0, DATE(2026,10,22) - DATEVALUE(D37))) / 28))</f>
        <v>15000</v>
      </c>
      <c r="G37" s="5" t="n">
        <f aca="false">SUMIF(Erfasste_Truhen_Feed!C:C, B37, Erfasste_Truhen_Feed!F:F)</f>
        <v>0</v>
      </c>
      <c r="H37" s="5" t="n">
        <f aca="false">IFERROR(VLOOKUP(B37, Turmbau_Tracker!B:E, 4, FALSE()), 0)</f>
        <v>0</v>
      </c>
      <c r="I37" s="5" t="n">
        <f aca="false">G37+H37</f>
        <v>0</v>
      </c>
      <c r="J37" s="3" t="str">
        <f aca="false">IF(I37&gt;=F37, "Ja", "Nein")</f>
        <v>Nein</v>
      </c>
    </row>
    <row r="38" customFormat="false" ht="15" hidden="false" customHeight="true" outlineLevel="0" collapsed="false">
      <c r="A38" s="6" t="n">
        <v>37</v>
      </c>
      <c r="B38" s="6" t="s">
        <v>52</v>
      </c>
      <c r="C38" s="6" t="s">
        <v>30</v>
      </c>
      <c r="D38" s="4" t="s">
        <v>12</v>
      </c>
      <c r="E38" s="6" t="s">
        <v>13</v>
      </c>
      <c r="F38" s="7" t="n">
        <f aca="false">IF(E38="Ja", 12500, 15000) * MAX(0, MIN(1, (28 - MAX(0, DATE(2026,10,22) - DATEVALUE(D38))) / 28))</f>
        <v>15000</v>
      </c>
      <c r="G38" s="7" t="n">
        <f aca="false">SUMIF(Erfasste_Truhen_Feed!C:C, B38, Erfasste_Truhen_Feed!F:F)</f>
        <v>75</v>
      </c>
      <c r="H38" s="7" t="n">
        <f aca="false">IFERROR(VLOOKUP(B38, Turmbau_Tracker!B:E, 4, FALSE()), 0)</f>
        <v>0</v>
      </c>
      <c r="I38" s="7" t="n">
        <f aca="false">G38+H38</f>
        <v>75</v>
      </c>
      <c r="J38" s="6" t="str">
        <f aca="false">IF(I38&gt;=F38, "Ja", "Nein")</f>
        <v>Nein</v>
      </c>
    </row>
    <row r="39" customFormat="false" ht="15" hidden="false" customHeight="true" outlineLevel="0" collapsed="false">
      <c r="A39" s="3" t="n">
        <v>38</v>
      </c>
      <c r="B39" s="3" t="s">
        <v>53</v>
      </c>
      <c r="C39" s="3" t="s">
        <v>30</v>
      </c>
      <c r="D39" s="4" t="s">
        <v>12</v>
      </c>
      <c r="E39" s="3" t="s">
        <v>13</v>
      </c>
      <c r="F39" s="5" t="n">
        <f aca="false">IF(E39="Ja", 12500, 15000) * MAX(0, MIN(1, (28 - MAX(0, DATE(2026,10,22) - DATEVALUE(D39))) / 28))</f>
        <v>15000</v>
      </c>
      <c r="G39" s="5" t="n">
        <f aca="false">SUMIF(Erfasste_Truhen_Feed!C:C, B39, Erfasste_Truhen_Feed!F:F)</f>
        <v>0</v>
      </c>
      <c r="H39" s="5" t="n">
        <f aca="false">IFERROR(VLOOKUP(B39, Turmbau_Tracker!B:E, 4, FALSE()), 0)</f>
        <v>0</v>
      </c>
      <c r="I39" s="5" t="n">
        <f aca="false">G39+H39</f>
        <v>0</v>
      </c>
      <c r="J39" s="3" t="str">
        <f aca="false">IF(I39&gt;=F39, "Ja", "Nein")</f>
        <v>Nein</v>
      </c>
    </row>
    <row r="40" customFormat="false" ht="15" hidden="false" customHeight="true" outlineLevel="0" collapsed="false">
      <c r="A40" s="6" t="n">
        <v>39</v>
      </c>
      <c r="B40" s="6" t="s">
        <v>54</v>
      </c>
      <c r="C40" s="6" t="s">
        <v>30</v>
      </c>
      <c r="D40" s="4" t="s">
        <v>12</v>
      </c>
      <c r="E40" s="6" t="s">
        <v>13</v>
      </c>
      <c r="F40" s="7" t="n">
        <f aca="false">IF(E40="Ja", 12500, 15000) * MAX(0, MIN(1, (28 - MAX(0, DATE(2026,10,22) - DATEVALUE(D40))) / 28))</f>
        <v>15000</v>
      </c>
      <c r="G40" s="7" t="n">
        <f aca="false">SUMIF(Erfasste_Truhen_Feed!C:C, B40, Erfasste_Truhen_Feed!F:F)</f>
        <v>0</v>
      </c>
      <c r="H40" s="7" t="n">
        <f aca="false">IFERROR(VLOOKUP(B40, Turmbau_Tracker!B:E, 4, FALSE()), 0)</f>
        <v>0</v>
      </c>
      <c r="I40" s="7" t="n">
        <f aca="false">G40+H40</f>
        <v>0</v>
      </c>
      <c r="J40" s="6" t="str">
        <f aca="false">IF(I40&gt;=F40, "Ja", "Nein")</f>
        <v>Nein</v>
      </c>
    </row>
    <row r="41" customFormat="false" ht="15" hidden="false" customHeight="true" outlineLevel="0" collapsed="false">
      <c r="A41" s="3" t="n">
        <v>40</v>
      </c>
      <c r="B41" s="3" t="s">
        <v>55</v>
      </c>
      <c r="C41" s="3" t="s">
        <v>30</v>
      </c>
      <c r="D41" s="4" t="s">
        <v>12</v>
      </c>
      <c r="E41" s="3" t="s">
        <v>13</v>
      </c>
      <c r="F41" s="5" t="n">
        <f aca="false">IF(E41="Ja", 12500, 15000) * MAX(0, MIN(1, (28 - MAX(0, DATE(2026,10,22) - DATEVALUE(D41))) / 28))</f>
        <v>15000</v>
      </c>
      <c r="G41" s="5" t="n">
        <f aca="false">SUMIF(Erfasste_Truhen_Feed!C:C, B41, Erfasste_Truhen_Feed!F:F)</f>
        <v>50</v>
      </c>
      <c r="H41" s="5" t="n">
        <f aca="false">IFERROR(VLOOKUP(B41, Turmbau_Tracker!B:E, 4, FALSE()), 0)</f>
        <v>0</v>
      </c>
      <c r="I41" s="5" t="n">
        <f aca="false">G41+H41</f>
        <v>50</v>
      </c>
      <c r="J41" s="3" t="str">
        <f aca="false">IF(I41&gt;=F41, "Ja", "Nein")</f>
        <v>Nein</v>
      </c>
    </row>
    <row r="42" customFormat="false" ht="15" hidden="false" customHeight="true" outlineLevel="0" collapsed="false">
      <c r="A42" s="6" t="n">
        <v>41</v>
      </c>
      <c r="B42" s="6" t="s">
        <v>56</v>
      </c>
      <c r="C42" s="6" t="s">
        <v>30</v>
      </c>
      <c r="D42" s="4" t="s">
        <v>12</v>
      </c>
      <c r="E42" s="6" t="s">
        <v>13</v>
      </c>
      <c r="F42" s="7" t="n">
        <f aca="false">IF(E42="Ja", 12500, 15000) * MAX(0, MIN(1, (28 - MAX(0, DATE(2026,10,22) - DATEVALUE(D42))) / 28))</f>
        <v>15000</v>
      </c>
      <c r="G42" s="7" t="n">
        <f aca="false">SUMIF(Erfasste_Truhen_Feed!C:C, B42, Erfasste_Truhen_Feed!F:F)</f>
        <v>260</v>
      </c>
      <c r="H42" s="7" t="n">
        <f aca="false">IFERROR(VLOOKUP(B42, Turmbau_Tracker!B:E, 4, FALSE()), 0)</f>
        <v>0</v>
      </c>
      <c r="I42" s="7" t="n">
        <f aca="false">G42+H42</f>
        <v>260</v>
      </c>
      <c r="J42" s="6" t="str">
        <f aca="false">IF(I42&gt;=F42, "Ja", "Nein")</f>
        <v>Nein</v>
      </c>
    </row>
    <row r="43" customFormat="false" ht="15" hidden="false" customHeight="true" outlineLevel="0" collapsed="false">
      <c r="A43" s="3" t="n">
        <v>42</v>
      </c>
      <c r="B43" s="3" t="s">
        <v>57</v>
      </c>
      <c r="C43" s="3" t="s">
        <v>30</v>
      </c>
      <c r="D43" s="4" t="s">
        <v>12</v>
      </c>
      <c r="E43" s="3" t="s">
        <v>13</v>
      </c>
      <c r="F43" s="5" t="n">
        <f aca="false">IF(E43="Ja", 12500, 15000) * MAX(0, MIN(1, (28 - MAX(0, DATE(2026,10,22) - DATEVALUE(D43))) / 28))</f>
        <v>15000</v>
      </c>
      <c r="G43" s="5" t="n">
        <f aca="false">SUMIF(Erfasste_Truhen_Feed!C:C, B43, Erfasste_Truhen_Feed!F:F)</f>
        <v>0</v>
      </c>
      <c r="H43" s="5" t="n">
        <f aca="false">IFERROR(VLOOKUP(B43, Turmbau_Tracker!B:E, 4, FALSE()), 0)</f>
        <v>0</v>
      </c>
      <c r="I43" s="5" t="n">
        <f aca="false">G43+H43</f>
        <v>0</v>
      </c>
      <c r="J43" s="3" t="str">
        <f aca="false">IF(I43&gt;=F43, "Ja", "Nein")</f>
        <v>Nein</v>
      </c>
    </row>
    <row r="44" customFormat="false" ht="15" hidden="false" customHeight="true" outlineLevel="0" collapsed="false">
      <c r="A44" s="6" t="n">
        <v>43</v>
      </c>
      <c r="B44" s="6" t="s">
        <v>58</v>
      </c>
      <c r="C44" s="6" t="s">
        <v>30</v>
      </c>
      <c r="D44" s="4" t="s">
        <v>12</v>
      </c>
      <c r="E44" s="6" t="s">
        <v>13</v>
      </c>
      <c r="F44" s="7" t="n">
        <f aca="false">IF(E44="Ja", 12500, 15000) * MAX(0, MIN(1, (28 - MAX(0, DATE(2026,10,22) - DATEVALUE(D44))) / 28))</f>
        <v>15000</v>
      </c>
      <c r="G44" s="7" t="n">
        <f aca="false">SUMIF(Erfasste_Truhen_Feed!C:C, B44, Erfasste_Truhen_Feed!F:F)</f>
        <v>95</v>
      </c>
      <c r="H44" s="7" t="n">
        <f aca="false">IFERROR(VLOOKUP(B44, Turmbau_Tracker!B:E, 4, FALSE()), 0)</f>
        <v>0</v>
      </c>
      <c r="I44" s="7" t="n">
        <f aca="false">G44+H44</f>
        <v>95</v>
      </c>
      <c r="J44" s="6" t="str">
        <f aca="false">IF(I44&gt;=F44, "Ja", "Nein")</f>
        <v>Nein</v>
      </c>
    </row>
    <row r="45" customFormat="false" ht="15" hidden="false" customHeight="true" outlineLevel="0" collapsed="false">
      <c r="A45" s="3" t="n">
        <v>44</v>
      </c>
      <c r="B45" s="3" t="s">
        <v>59</v>
      </c>
      <c r="C45" s="3" t="s">
        <v>30</v>
      </c>
      <c r="D45" s="4" t="s">
        <v>12</v>
      </c>
      <c r="E45" s="3" t="s">
        <v>13</v>
      </c>
      <c r="F45" s="5" t="n">
        <f aca="false">IF(E45="Ja", 12500, 15000) * MAX(0, MIN(1, (28 - MAX(0, DATE(2026,10,22) - DATEVALUE(D45))) / 28))</f>
        <v>15000</v>
      </c>
      <c r="G45" s="5" t="n">
        <f aca="false">SUMIF(Erfasste_Truhen_Feed!C:C, B45, Erfasste_Truhen_Feed!F:F)</f>
        <v>0</v>
      </c>
      <c r="H45" s="5" t="n">
        <f aca="false">IFERROR(VLOOKUP(B45, Turmbau_Tracker!B:E, 4, FALSE()), 0)</f>
        <v>0</v>
      </c>
      <c r="I45" s="5" t="n">
        <f aca="false">G45+H45</f>
        <v>0</v>
      </c>
      <c r="J45" s="3" t="str">
        <f aca="false">IF(I45&gt;=F45, "Ja", "Nein")</f>
        <v>Nein</v>
      </c>
    </row>
    <row r="46" customFormat="false" ht="15" hidden="false" customHeight="true" outlineLevel="0" collapsed="false">
      <c r="A46" s="6" t="n">
        <v>45</v>
      </c>
      <c r="B46" s="6" t="s">
        <v>60</v>
      </c>
      <c r="C46" s="6" t="s">
        <v>30</v>
      </c>
      <c r="D46" s="4" t="s">
        <v>12</v>
      </c>
      <c r="E46" s="6" t="s">
        <v>13</v>
      </c>
      <c r="F46" s="7" t="n">
        <f aca="false">IF(E46="Ja", 12500, 15000) * MAX(0, MIN(1, (28 - MAX(0, DATE(2026,10,22) - DATEVALUE(D46))) / 28))</f>
        <v>15000</v>
      </c>
      <c r="G46" s="7" t="n">
        <f aca="false">SUMIF(Erfasste_Truhen_Feed!C:C, B46, Erfasste_Truhen_Feed!F:F)</f>
        <v>0</v>
      </c>
      <c r="H46" s="7" t="n">
        <f aca="false">IFERROR(VLOOKUP(B46, Turmbau_Tracker!B:E, 4, FALSE()), 0)</f>
        <v>0</v>
      </c>
      <c r="I46" s="7" t="n">
        <f aca="false">G46+H46</f>
        <v>0</v>
      </c>
      <c r="J46" s="6" t="str">
        <f aca="false">IF(I46&gt;=F46, "Ja", "Nein")</f>
        <v>Nein</v>
      </c>
    </row>
    <row r="47" customFormat="false" ht="15" hidden="false" customHeight="true" outlineLevel="0" collapsed="false">
      <c r="A47" s="3" t="n">
        <v>46</v>
      </c>
      <c r="B47" s="3" t="s">
        <v>61</v>
      </c>
      <c r="C47" s="3" t="s">
        <v>30</v>
      </c>
      <c r="D47" s="4" t="s">
        <v>12</v>
      </c>
      <c r="E47" s="3" t="s">
        <v>13</v>
      </c>
      <c r="F47" s="5" t="n">
        <f aca="false">IF(E47="Ja", 12500, 15000) * MAX(0, MIN(1, (28 - MAX(0, DATE(2026,10,22) - DATEVALUE(D47))) / 28))</f>
        <v>15000</v>
      </c>
      <c r="G47" s="5" t="n">
        <f aca="false">SUMIF(Erfasste_Truhen_Feed!C:C, B47, Erfasste_Truhen_Feed!F:F)</f>
        <v>75</v>
      </c>
      <c r="H47" s="5" t="n">
        <f aca="false">IFERROR(VLOOKUP(B47, Turmbau_Tracker!B:E, 4, FALSE()), 0)</f>
        <v>0</v>
      </c>
      <c r="I47" s="5" t="n">
        <f aca="false">G47+H47</f>
        <v>75</v>
      </c>
      <c r="J47" s="3" t="str">
        <f aca="false">IF(I47&gt;=F47, "Ja", "Nein")</f>
        <v>Nein</v>
      </c>
    </row>
    <row r="48" customFormat="false" ht="15" hidden="false" customHeight="true" outlineLevel="0" collapsed="false">
      <c r="A48" s="6" t="n">
        <v>47</v>
      </c>
      <c r="B48" s="6" t="s">
        <v>62</v>
      </c>
      <c r="C48" s="6" t="s">
        <v>30</v>
      </c>
      <c r="D48" s="4" t="s">
        <v>12</v>
      </c>
      <c r="E48" s="6" t="s">
        <v>13</v>
      </c>
      <c r="F48" s="7" t="n">
        <f aca="false">IF(E48="Ja", 12500, 15000) * MAX(0, MIN(1, (28 - MAX(0, DATE(2026,10,22) - DATEVALUE(D48))) / 28))</f>
        <v>15000</v>
      </c>
      <c r="G48" s="7" t="n">
        <f aca="false">SUMIF(Erfasste_Truhen_Feed!C:C, B48, Erfasste_Truhen_Feed!F:F)</f>
        <v>0</v>
      </c>
      <c r="H48" s="7" t="n">
        <f aca="false">IFERROR(VLOOKUP(B48, Turmbau_Tracker!B:E, 4, FALSE()), 0)</f>
        <v>0</v>
      </c>
      <c r="I48" s="7" t="n">
        <f aca="false">G48+H48</f>
        <v>0</v>
      </c>
      <c r="J48" s="6" t="str">
        <f aca="false">IF(I48&gt;=F48, "Ja", "Nein")</f>
        <v>Nein</v>
      </c>
    </row>
    <row r="49" customFormat="false" ht="15" hidden="false" customHeight="true" outlineLevel="0" collapsed="false">
      <c r="A49" s="3" t="n">
        <v>48</v>
      </c>
      <c r="B49" s="3" t="s">
        <v>63</v>
      </c>
      <c r="C49" s="3" t="s">
        <v>30</v>
      </c>
      <c r="D49" s="4" t="s">
        <v>12</v>
      </c>
      <c r="E49" s="3" t="s">
        <v>13</v>
      </c>
      <c r="F49" s="5" t="n">
        <f aca="false">IF(E49="Ja", 12500, 15000) * MAX(0, MIN(1, (28 - MAX(0, DATE(2026,10,22) - DATEVALUE(D49))) / 28))</f>
        <v>15000</v>
      </c>
      <c r="G49" s="5" t="n">
        <f aca="false">SUMIF(Erfasste_Truhen_Feed!C:C, B49, Erfasste_Truhen_Feed!F:F)</f>
        <v>0</v>
      </c>
      <c r="H49" s="5" t="n">
        <f aca="false">IFERROR(VLOOKUP(B49, Turmbau_Tracker!B:E, 4, FALSE()), 0)</f>
        <v>0</v>
      </c>
      <c r="I49" s="5" t="n">
        <f aca="false">G49+H49</f>
        <v>0</v>
      </c>
      <c r="J49" s="3" t="str">
        <f aca="false">IF(I49&gt;=F49, "Ja", "Nein")</f>
        <v>Nein</v>
      </c>
    </row>
    <row r="50" customFormat="false" ht="15" hidden="false" customHeight="true" outlineLevel="0" collapsed="false">
      <c r="A50" s="6" t="n">
        <v>49</v>
      </c>
      <c r="B50" s="6" t="s">
        <v>64</v>
      </c>
      <c r="C50" s="6" t="s">
        <v>30</v>
      </c>
      <c r="D50" s="4" t="s">
        <v>12</v>
      </c>
      <c r="E50" s="6" t="s">
        <v>13</v>
      </c>
      <c r="F50" s="7" t="n">
        <f aca="false">IF(E50="Ja", 12500, 15000) * MAX(0, MIN(1, (28 - MAX(0, DATE(2026,10,22) - DATEVALUE(D50))) / 28))</f>
        <v>15000</v>
      </c>
      <c r="G50" s="7" t="n">
        <f aca="false">SUMIF(Erfasste_Truhen_Feed!C:C, B50, Erfasste_Truhen_Feed!F:F)</f>
        <v>135</v>
      </c>
      <c r="H50" s="7" t="n">
        <f aca="false">IFERROR(VLOOKUP(B50, Turmbau_Tracker!B:E, 4, FALSE()), 0)</f>
        <v>0</v>
      </c>
      <c r="I50" s="7" t="n">
        <f aca="false">G50+H50</f>
        <v>135</v>
      </c>
      <c r="J50" s="6" t="str">
        <f aca="false">IF(I50&gt;=F50, "Ja", "Nein")</f>
        <v>Nein</v>
      </c>
    </row>
    <row r="51" customFormat="false" ht="15" hidden="false" customHeight="true" outlineLevel="0" collapsed="false">
      <c r="A51" s="3" t="n">
        <v>50</v>
      </c>
      <c r="B51" s="3" t="s">
        <v>65</v>
      </c>
      <c r="C51" s="3" t="s">
        <v>30</v>
      </c>
      <c r="D51" s="4" t="s">
        <v>12</v>
      </c>
      <c r="E51" s="3" t="s">
        <v>13</v>
      </c>
      <c r="F51" s="5" t="n">
        <f aca="false">IF(E51="Ja", 12500, 15000) * MAX(0, MIN(1, (28 - MAX(0, DATE(2026,10,22) - DATEVALUE(D51))) / 28))</f>
        <v>15000</v>
      </c>
      <c r="G51" s="5" t="n">
        <f aca="false">SUMIF(Erfasste_Truhen_Feed!C:C, B51, Erfasste_Truhen_Feed!F:F)</f>
        <v>75</v>
      </c>
      <c r="H51" s="5" t="n">
        <f aca="false">IFERROR(VLOOKUP(B51, Turmbau_Tracker!B:E, 4, FALSE()), 0)</f>
        <v>0</v>
      </c>
      <c r="I51" s="5" t="n">
        <f aca="false">G51+H51</f>
        <v>75</v>
      </c>
      <c r="J51" s="3" t="str">
        <f aca="false">IF(I51&gt;=F51, "Ja", "Nein")</f>
        <v>Nein</v>
      </c>
    </row>
    <row r="52" customFormat="false" ht="15" hidden="false" customHeight="true" outlineLevel="0" collapsed="false">
      <c r="A52" s="6" t="n">
        <v>51</v>
      </c>
      <c r="B52" s="6" t="s">
        <v>66</v>
      </c>
      <c r="C52" s="6" t="s">
        <v>30</v>
      </c>
      <c r="D52" s="4" t="s">
        <v>12</v>
      </c>
      <c r="E52" s="6" t="s">
        <v>13</v>
      </c>
      <c r="F52" s="7" t="n">
        <f aca="false">IF(E52="Ja", 12500, 15000) * MAX(0, MIN(1, (28 - MAX(0, DATE(2026,10,22) - DATEVALUE(D52))) / 28))</f>
        <v>15000</v>
      </c>
      <c r="G52" s="7" t="n">
        <f aca="false">SUMIF(Erfasste_Truhen_Feed!C:C, B52, Erfasste_Truhen_Feed!F:F)</f>
        <v>455</v>
      </c>
      <c r="H52" s="7" t="n">
        <f aca="false">IFERROR(VLOOKUP(B52, Turmbau_Tracker!B:E, 4, FALSE()), 0)</f>
        <v>0</v>
      </c>
      <c r="I52" s="7" t="n">
        <f aca="false">G52+H52</f>
        <v>455</v>
      </c>
      <c r="J52" s="6" t="str">
        <f aca="false">IF(I52&gt;=F52, "Ja", "Nein")</f>
        <v>Nein</v>
      </c>
    </row>
    <row r="53" customFormat="false" ht="15" hidden="false" customHeight="true" outlineLevel="0" collapsed="false">
      <c r="A53" s="3" t="n">
        <v>52</v>
      </c>
      <c r="B53" s="3" t="s">
        <v>67</v>
      </c>
      <c r="C53" s="3" t="s">
        <v>30</v>
      </c>
      <c r="D53" s="4" t="s">
        <v>12</v>
      </c>
      <c r="E53" s="3" t="s">
        <v>13</v>
      </c>
      <c r="F53" s="5" t="n">
        <f aca="false">IF(E53="Ja", 12500, 15000) * MAX(0, MIN(1, (28 - MAX(0, DATE(2026,10,22) - DATEVALUE(D53))) / 28))</f>
        <v>15000</v>
      </c>
      <c r="G53" s="5" t="n">
        <f aca="false">SUMIF(Erfasste_Truhen_Feed!C:C, B53, Erfasste_Truhen_Feed!F:F)</f>
        <v>0</v>
      </c>
      <c r="H53" s="5" t="n">
        <f aca="false">IFERROR(VLOOKUP(B53, Turmbau_Tracker!B:E, 4, FALSE()), 0)</f>
        <v>0</v>
      </c>
      <c r="I53" s="5" t="n">
        <f aca="false">G53+H53</f>
        <v>0</v>
      </c>
      <c r="J53" s="3" t="str">
        <f aca="false">IF(I53&gt;=F53, "Ja", "Nein")</f>
        <v>Nein</v>
      </c>
    </row>
    <row r="54" customFormat="false" ht="15" hidden="false" customHeight="true" outlineLevel="0" collapsed="false">
      <c r="A54" s="6" t="n">
        <v>53</v>
      </c>
      <c r="B54" s="6" t="s">
        <v>68</v>
      </c>
      <c r="C54" s="6" t="s">
        <v>30</v>
      </c>
      <c r="D54" s="4" t="s">
        <v>12</v>
      </c>
      <c r="E54" s="6" t="s">
        <v>13</v>
      </c>
      <c r="F54" s="7" t="n">
        <f aca="false">IF(E54="Ja", 12500, 15000) * MAX(0, MIN(1, (28 - MAX(0, DATE(2026,10,22) - DATEVALUE(D54))) / 28))</f>
        <v>15000</v>
      </c>
      <c r="G54" s="7" t="n">
        <f aca="false">SUMIF(Erfasste_Truhen_Feed!C:C, B54, Erfasste_Truhen_Feed!F:F)</f>
        <v>0</v>
      </c>
      <c r="H54" s="7" t="n">
        <f aca="false">IFERROR(VLOOKUP(B54, Turmbau_Tracker!B:E, 4, FALSE()), 0)</f>
        <v>0</v>
      </c>
      <c r="I54" s="7" t="n">
        <f aca="false">G54+H54</f>
        <v>0</v>
      </c>
      <c r="J54" s="6" t="str">
        <f aca="false">IF(I54&gt;=F54, "Ja", "Nein")</f>
        <v>Nein</v>
      </c>
    </row>
    <row r="55" customFormat="false" ht="15" hidden="false" customHeight="true" outlineLevel="0" collapsed="false">
      <c r="A55" s="3" t="n">
        <v>54</v>
      </c>
      <c r="B55" s="3" t="s">
        <v>69</v>
      </c>
      <c r="C55" s="3" t="s">
        <v>30</v>
      </c>
      <c r="D55" s="4" t="s">
        <v>12</v>
      </c>
      <c r="E55" s="3" t="s">
        <v>13</v>
      </c>
      <c r="F55" s="5" t="n">
        <f aca="false">IF(E55="Ja", 12500, 15000) * MAX(0, MIN(1, (28 - MAX(0, DATE(2026,10,22) - DATEVALUE(D55))) / 28))</f>
        <v>15000</v>
      </c>
      <c r="G55" s="5" t="n">
        <f aca="false">SUMIF(Erfasste_Truhen_Feed!C:C, B55, Erfasste_Truhen_Feed!F:F)</f>
        <v>50</v>
      </c>
      <c r="H55" s="5" t="n">
        <f aca="false">IFERROR(VLOOKUP(B55, Turmbau_Tracker!B:E, 4, FALSE()), 0)</f>
        <v>0</v>
      </c>
      <c r="I55" s="5" t="n">
        <f aca="false">G55+H55</f>
        <v>50</v>
      </c>
      <c r="J55" s="3" t="str">
        <f aca="false">IF(I55&gt;=F55, "Ja", "Nein")</f>
        <v>Nein</v>
      </c>
    </row>
    <row r="56" customFormat="false" ht="15" hidden="false" customHeight="true" outlineLevel="0" collapsed="false">
      <c r="A56" s="6" t="n">
        <v>55</v>
      </c>
      <c r="B56" s="6" t="s">
        <v>70</v>
      </c>
      <c r="C56" s="6" t="s">
        <v>30</v>
      </c>
      <c r="D56" s="4" t="s">
        <v>12</v>
      </c>
      <c r="E56" s="6" t="s">
        <v>71</v>
      </c>
      <c r="F56" s="7" t="n">
        <f aca="false">IF(E56="Ja", 12500, 15000) * MAX(0, MIN(1, (28 - MAX(0, DATE(2026,10,22) - DATEVALUE(D56))) / 28))</f>
        <v>12500</v>
      </c>
      <c r="G56" s="7" t="n">
        <f aca="false">SUMIF(Erfasste_Truhen_Feed!C:C, B56, Erfasste_Truhen_Feed!F:F)</f>
        <v>170</v>
      </c>
      <c r="H56" s="7" t="n">
        <f aca="false">IFERROR(VLOOKUP(B56, Turmbau_Tracker!B:E, 4, FALSE()), 0)</f>
        <v>0</v>
      </c>
      <c r="I56" s="7" t="n">
        <f aca="false">G56+H56</f>
        <v>170</v>
      </c>
      <c r="J56" s="6" t="str">
        <f aca="false">IF(I56&gt;=F56, "Ja", "Nein")</f>
        <v>Nein</v>
      </c>
    </row>
    <row r="57" customFormat="false" ht="15" hidden="false" customHeight="true" outlineLevel="0" collapsed="false">
      <c r="A57" s="3" t="n">
        <v>56</v>
      </c>
      <c r="B57" s="3" t="s">
        <v>72</v>
      </c>
      <c r="C57" s="3" t="s">
        <v>30</v>
      </c>
      <c r="D57" s="4" t="s">
        <v>12</v>
      </c>
      <c r="E57" s="3" t="s">
        <v>71</v>
      </c>
      <c r="F57" s="5" t="n">
        <f aca="false">IF(E57="Ja", 12500, 15000) * MAX(0, MIN(1, (28 - MAX(0, DATE(2026,10,22) - DATEVALUE(D57))) / 28))</f>
        <v>12500</v>
      </c>
      <c r="G57" s="5" t="n">
        <f aca="false">SUMIF(Erfasste_Truhen_Feed!C:C, B57, Erfasste_Truhen_Feed!F:F)</f>
        <v>0</v>
      </c>
      <c r="H57" s="5" t="n">
        <f aca="false">IFERROR(VLOOKUP(B57, Turmbau_Tracker!B:E, 4, FALSE()), 0)</f>
        <v>0</v>
      </c>
      <c r="I57" s="5" t="n">
        <f aca="false">G57+H57</f>
        <v>0</v>
      </c>
      <c r="J57" s="3" t="str">
        <f aca="false">IF(I57&gt;=F57, "Ja", "Nein")</f>
        <v>Nein</v>
      </c>
    </row>
    <row r="58" customFormat="false" ht="15" hidden="false" customHeight="true" outlineLevel="0" collapsed="false">
      <c r="A58" s="6" t="n">
        <v>57</v>
      </c>
      <c r="B58" s="6" t="s">
        <v>73</v>
      </c>
      <c r="C58" s="6" t="s">
        <v>30</v>
      </c>
      <c r="D58" s="4" t="s">
        <v>12</v>
      </c>
      <c r="E58" s="6" t="s">
        <v>71</v>
      </c>
      <c r="F58" s="7" t="n">
        <f aca="false">IF(E58="Ja", 12500, 15000) * MAX(0, MIN(1, (28 - MAX(0, DATE(2026,10,22) - DATEVALUE(D58))) / 28))</f>
        <v>12500</v>
      </c>
      <c r="G58" s="7" t="n">
        <f aca="false">SUMIF(Erfasste_Truhen_Feed!C:C, B58, Erfasste_Truhen_Feed!F:F)</f>
        <v>0</v>
      </c>
      <c r="H58" s="7" t="n">
        <f aca="false">IFERROR(VLOOKUP(B58, Turmbau_Tracker!B:E, 4, FALSE()), 0)</f>
        <v>0</v>
      </c>
      <c r="I58" s="7" t="n">
        <f aca="false">G58+H58</f>
        <v>0</v>
      </c>
      <c r="J58" s="6" t="str">
        <f aca="false">IF(I58&gt;=F58, "Ja", "Nein")</f>
        <v>Nein</v>
      </c>
    </row>
    <row r="59" customFormat="false" ht="15" hidden="false" customHeight="true" outlineLevel="0" collapsed="false">
      <c r="A59" s="3" t="n">
        <v>58</v>
      </c>
      <c r="B59" s="3" t="s">
        <v>74</v>
      </c>
      <c r="C59" s="3" t="s">
        <v>30</v>
      </c>
      <c r="D59" s="4" t="s">
        <v>12</v>
      </c>
      <c r="E59" s="3" t="s">
        <v>71</v>
      </c>
      <c r="F59" s="5" t="n">
        <f aca="false">IF(E59="Ja", 12500, 15000) * MAX(0, MIN(1, (28 - MAX(0, DATE(2026,10,22) - DATEVALUE(D59))) / 28))</f>
        <v>12500</v>
      </c>
      <c r="G59" s="5" t="n">
        <f aca="false">SUMIF(Erfasste_Truhen_Feed!C:C, B59, Erfasste_Truhen_Feed!F:F)</f>
        <v>275</v>
      </c>
      <c r="H59" s="5" t="n">
        <f aca="false">IFERROR(VLOOKUP(B59, Turmbau_Tracker!B:E, 4, FALSE()), 0)</f>
        <v>0</v>
      </c>
      <c r="I59" s="5" t="n">
        <f aca="false">G59+H59</f>
        <v>275</v>
      </c>
      <c r="J59" s="3" t="str">
        <f aca="false">IF(I59&gt;=F59, "Ja", "Nein")</f>
        <v>Nein</v>
      </c>
    </row>
    <row r="60" customFormat="false" ht="15" hidden="false" customHeight="true" outlineLevel="0" collapsed="false">
      <c r="A60" s="3" t="n">
        <v>59</v>
      </c>
      <c r="B60" s="3" t="s">
        <v>75</v>
      </c>
      <c r="C60" s="3" t="s">
        <v>30</v>
      </c>
      <c r="D60" s="4" t="s">
        <v>12</v>
      </c>
      <c r="E60" s="3" t="s">
        <v>71</v>
      </c>
      <c r="F60" s="5" t="n">
        <f aca="false">IF(E60="Ja", 12500, 15000) * MAX(0, MIN(1, (28 - MAX(0, DATE(2026,10,22) - DATEVALUE(D60))) / 28))</f>
        <v>12500</v>
      </c>
      <c r="G60" s="5" t="n">
        <f aca="false">SUMIF(Erfasste_Truhen_Feed!C:C, B60, Erfasste_Truhen_Feed!F:F)</f>
        <v>0</v>
      </c>
      <c r="H60" s="5" t="n">
        <f aca="false">IFERROR(VLOOKUP(B60, Turmbau_Tracker!B:E, 4, FALSE()), 0)</f>
        <v>0</v>
      </c>
      <c r="I60" s="5" t="n">
        <f aca="false">G60+H60</f>
        <v>0</v>
      </c>
      <c r="J60" s="3" t="str">
        <f aca="false">IF(I60&gt;=F60, "Ja", "Nein")</f>
        <v>Nein</v>
      </c>
    </row>
    <row r="61" customFormat="false" ht="15" hidden="false" customHeight="true" outlineLevel="0" collapsed="false">
      <c r="A61" s="6" t="n">
        <v>60</v>
      </c>
      <c r="B61" s="6" t="s">
        <v>76</v>
      </c>
      <c r="C61" s="6" t="s">
        <v>30</v>
      </c>
      <c r="D61" s="4" t="s">
        <v>12</v>
      </c>
      <c r="E61" s="6" t="s">
        <v>71</v>
      </c>
      <c r="F61" s="7" t="n">
        <f aca="false">IF(E61="Ja", 12500, 15000) * MAX(0, MIN(1, (28 - MAX(0, DATE(2026,10,22) - DATEVALUE(D61))) / 28))</f>
        <v>12500</v>
      </c>
      <c r="G61" s="7" t="n">
        <f aca="false">SUMIF(Erfasste_Truhen_Feed!C:C, B61, Erfasste_Truhen_Feed!F:F)</f>
        <v>0</v>
      </c>
      <c r="H61" s="7" t="n">
        <f aca="false">IFERROR(VLOOKUP(B61, Turmbau_Tracker!B:E, 4, FALSE()), 0)</f>
        <v>0</v>
      </c>
      <c r="I61" s="7" t="n">
        <f aca="false">G61+H61</f>
        <v>0</v>
      </c>
      <c r="J61" s="6" t="str">
        <f aca="false">IF(I61&gt;=F61, "Ja", "Nein")</f>
        <v>Nein</v>
      </c>
    </row>
    <row r="62" customFormat="false" ht="15" hidden="false" customHeight="true" outlineLevel="0" collapsed="false">
      <c r="A62" s="3" t="n">
        <v>61</v>
      </c>
      <c r="B62" s="3" t="s">
        <v>77</v>
      </c>
      <c r="C62" s="3" t="s">
        <v>30</v>
      </c>
      <c r="D62" s="4" t="s">
        <v>12</v>
      </c>
      <c r="E62" s="3" t="s">
        <v>71</v>
      </c>
      <c r="F62" s="5" t="n">
        <f aca="false">IF(E62="Ja", 12500, 15000) * MAX(0, MIN(1, (28 - MAX(0, DATE(2026,10,22) - DATEVALUE(D62))) / 28))</f>
        <v>12500</v>
      </c>
      <c r="G62" s="5" t="n">
        <f aca="false">SUMIF(Erfasste_Truhen_Feed!C:C, B62, Erfasste_Truhen_Feed!F:F)</f>
        <v>0</v>
      </c>
      <c r="H62" s="5" t="n">
        <f aca="false">IFERROR(VLOOKUP(B62, Turmbau_Tracker!B:E, 4, FALSE()), 0)</f>
        <v>0</v>
      </c>
      <c r="I62" s="5" t="n">
        <f aca="false">G62+H62</f>
        <v>0</v>
      </c>
      <c r="J62" s="3" t="str">
        <f aca="false">IF(I62&gt;=F62, "Ja", "Nein")</f>
        <v>Nein</v>
      </c>
    </row>
    <row r="63" customFormat="false" ht="15" hidden="false" customHeight="true" outlineLevel="0" collapsed="false">
      <c r="A63" s="3" t="n">
        <v>62</v>
      </c>
      <c r="B63" s="3" t="s">
        <v>78</v>
      </c>
      <c r="C63" s="3" t="s">
        <v>30</v>
      </c>
      <c r="D63" s="4" t="s">
        <v>12</v>
      </c>
      <c r="E63" s="3" t="s">
        <v>71</v>
      </c>
      <c r="F63" s="5" t="n">
        <f aca="false">IF(E63="Ja", 12500, 15000) * MAX(0, MIN(1, (28 - MAX(0, DATE(2026,10,22) - DATEVALUE(D63))) / 28))</f>
        <v>12500</v>
      </c>
      <c r="G63" s="5" t="n">
        <f aca="false">SUMIF(Erfasste_Truhen_Feed!C:C, B63, Erfasste_Truhen_Feed!F:F)</f>
        <v>200</v>
      </c>
      <c r="H63" s="5" t="n">
        <f aca="false">IFERROR(VLOOKUP(B63, Turmbau_Tracker!B:E, 4, FALSE()), 0)</f>
        <v>0</v>
      </c>
      <c r="I63" s="5" t="n">
        <f aca="false">G63+H63</f>
        <v>200</v>
      </c>
      <c r="J63" s="3" t="str">
        <f aca="false">IF(I63&gt;=F63, "Ja", "Nein")</f>
        <v>Nein</v>
      </c>
    </row>
    <row r="64" customFormat="false" ht="15" hidden="false" customHeight="true" outlineLevel="0" collapsed="false">
      <c r="A64" s="6" t="n">
        <v>63</v>
      </c>
      <c r="B64" s="6" t="s">
        <v>79</v>
      </c>
      <c r="C64" s="6" t="s">
        <v>30</v>
      </c>
      <c r="D64" s="4" t="s">
        <v>12</v>
      </c>
      <c r="E64" s="6" t="s">
        <v>13</v>
      </c>
      <c r="F64" s="7" t="n">
        <f aca="false">IF(E64="Ja", 12500, 15000) * MAX(0, MIN(1, (28 - MAX(0, DATE(2026,10,22) - DATEVALUE(D64))) / 28))</f>
        <v>15000</v>
      </c>
      <c r="G64" s="7" t="n">
        <f aca="false">SUMIF(Erfasste_Truhen_Feed!C:C, B64, Erfasste_Truhen_Feed!F:F)</f>
        <v>0</v>
      </c>
      <c r="H64" s="7" t="n">
        <f aca="false">IFERROR(VLOOKUP(B64, Turmbau_Tracker!B:E, 4, FALSE()), 0)</f>
        <v>0</v>
      </c>
      <c r="I64" s="7" t="n">
        <f aca="false">G64+H64</f>
        <v>0</v>
      </c>
      <c r="J64" s="6" t="str">
        <f aca="false">IF(I64&gt;=F64, "Ja", "Nein")</f>
        <v>Nein</v>
      </c>
    </row>
    <row r="65" customFormat="false" ht="15" hidden="false" customHeight="true" outlineLevel="0" collapsed="false">
      <c r="A65" s="8" t="n">
        <v>64</v>
      </c>
      <c r="B65" s="8" t="s">
        <v>80</v>
      </c>
      <c r="C65" s="8" t="s">
        <v>30</v>
      </c>
      <c r="D65" s="4" t="s">
        <v>12</v>
      </c>
      <c r="E65" s="8" t="s">
        <v>71</v>
      </c>
      <c r="F65" s="8" t="n">
        <f aca="false">IF(E65="Ja", 12500, 15000) * MAX(0, MIN(1, (28 - MAX(0, DATE(2026,10,22) - DATEVALUE(D65))) / 28))</f>
        <v>12500</v>
      </c>
      <c r="G65" s="8" t="n">
        <f aca="false">SUMIF(Erfasste_Truhen_Feed!C:C, B65, Erfasste_Truhen_Feed!F:F)</f>
        <v>0</v>
      </c>
      <c r="H65" s="8" t="n">
        <f aca="false">IFERROR(VLOOKUP(B65, Turmbau_Tracker!B:E, 4, FALSE()), 0)</f>
        <v>0</v>
      </c>
      <c r="I65" s="8" t="n">
        <f aca="false">G65+H65</f>
        <v>0</v>
      </c>
      <c r="J65" s="8" t="str">
        <f aca="false">IF(I65&gt;=F65, "Ja", "Nein")</f>
        <v>Nein</v>
      </c>
    </row>
    <row r="66" customFormat="false" ht="15" hidden="false" customHeight="true" outlineLevel="0" collapsed="false">
      <c r="A66" s="3" t="n">
        <v>65</v>
      </c>
      <c r="B66" s="3" t="s">
        <v>81</v>
      </c>
      <c r="C66" s="3" t="s">
        <v>82</v>
      </c>
      <c r="D66" s="4" t="s">
        <v>12</v>
      </c>
      <c r="E66" s="3" t="s">
        <v>13</v>
      </c>
      <c r="F66" s="5" t="n">
        <f aca="false">IF(E66="Ja", 12500, 15000) * MAX(0, MIN(1, (28 - MAX(0, DATE(2026,10,22) - DATEVALUE(D66))) / 28))</f>
        <v>15000</v>
      </c>
      <c r="G66" s="5" t="n">
        <f aca="false">SUMIF(Erfasste_Truhen_Feed!C:C, B66, Erfasste_Truhen_Feed!F:F)</f>
        <v>50</v>
      </c>
      <c r="H66" s="5" t="n">
        <f aca="false">IFERROR(VLOOKUP(B66, Turmbau_Tracker!B:E, 4, FALSE()), 0)</f>
        <v>0</v>
      </c>
      <c r="I66" s="5" t="n">
        <f aca="false">G66+H66</f>
        <v>50</v>
      </c>
      <c r="J66" s="3" t="str">
        <f aca="false">IF(I66&gt;=F66, "Ja", "Nein")</f>
        <v>Nein</v>
      </c>
    </row>
    <row r="67" customFormat="false" ht="15" hidden="false" customHeight="true" outlineLevel="0" collapsed="false">
      <c r="A67" s="6" t="n">
        <v>66</v>
      </c>
      <c r="B67" s="6" t="s">
        <v>83</v>
      </c>
      <c r="C67" s="6" t="s">
        <v>82</v>
      </c>
      <c r="D67" s="4" t="s">
        <v>12</v>
      </c>
      <c r="E67" s="6" t="s">
        <v>71</v>
      </c>
      <c r="F67" s="7" t="n">
        <f aca="false">IF(E67="Ja", 12500, 15000) * MAX(0, MIN(1, (28 - MAX(0, DATE(2026,10,22) - DATEVALUE(D67))) / 28))</f>
        <v>12500</v>
      </c>
      <c r="G67" s="7" t="n">
        <f aca="false">SUMIF(Erfasste_Truhen_Feed!C:C, B67, Erfasste_Truhen_Feed!F:F)</f>
        <v>75</v>
      </c>
      <c r="H67" s="7" t="n">
        <f aca="false">IFERROR(VLOOKUP(B67, Turmbau_Tracker!B:E, 4, FALSE()), 0)</f>
        <v>0</v>
      </c>
      <c r="I67" s="7" t="n">
        <f aca="false">G67+H67</f>
        <v>75</v>
      </c>
      <c r="J67" s="6" t="str">
        <f aca="false">IF(I67&gt;=F67, "Ja", "Nein")</f>
        <v>Nein</v>
      </c>
    </row>
    <row r="68" customFormat="false" ht="15" hidden="false" customHeight="true" outlineLevel="0" collapsed="false">
      <c r="A68" s="3" t="n">
        <v>67</v>
      </c>
      <c r="B68" s="3" t="s">
        <v>84</v>
      </c>
      <c r="C68" s="3" t="s">
        <v>82</v>
      </c>
      <c r="D68" s="4" t="s">
        <v>12</v>
      </c>
      <c r="E68" s="3" t="s">
        <v>13</v>
      </c>
      <c r="F68" s="5" t="n">
        <f aca="false">IF(E68="Ja", 12500, 15000) * MAX(0, MIN(1, (28 - MAX(0, DATE(2026,10,22) - DATEVALUE(D68))) / 28))</f>
        <v>15000</v>
      </c>
      <c r="G68" s="5" t="n">
        <f aca="false">SUMIF(Erfasste_Truhen_Feed!C:C, B68, Erfasste_Truhen_Feed!F:F)</f>
        <v>0</v>
      </c>
      <c r="H68" s="5" t="n">
        <f aca="false">IFERROR(VLOOKUP(B68, Turmbau_Tracker!B:E, 4, FALSE()), 0)</f>
        <v>0</v>
      </c>
      <c r="I68" s="5" t="n">
        <f aca="false">G68+H68</f>
        <v>0</v>
      </c>
      <c r="J68" s="3" t="str">
        <f aca="false">IF(I68&gt;=F68, "Ja", "Nein")</f>
        <v>Nein</v>
      </c>
    </row>
    <row r="69" customFormat="false" ht="15" hidden="false" customHeight="true" outlineLevel="0" collapsed="false">
      <c r="A69" s="3" t="n">
        <v>68</v>
      </c>
      <c r="B69" s="3" t="s">
        <v>85</v>
      </c>
      <c r="C69" s="3" t="s">
        <v>82</v>
      </c>
      <c r="D69" s="4" t="s">
        <v>12</v>
      </c>
      <c r="E69" s="3" t="s">
        <v>13</v>
      </c>
      <c r="F69" s="5" t="n">
        <f aca="false">IF(E69="Ja", 12500, 15000) * MAX(0, MIN(1, (28 - MAX(0, DATE(2026,10,22) - DATEVALUE(D69))) / 28))</f>
        <v>15000</v>
      </c>
      <c r="G69" s="5" t="n">
        <f aca="false">SUMIF(Erfasste_Truhen_Feed!C:C, B69, Erfasste_Truhen_Feed!F:F)</f>
        <v>0</v>
      </c>
      <c r="H69" s="5" t="n">
        <f aca="false">IFERROR(VLOOKUP(B69, Turmbau_Tracker!B:E, 4, FALSE()), 0)</f>
        <v>0</v>
      </c>
      <c r="I69" s="5" t="n">
        <f aca="false">G69+H69</f>
        <v>0</v>
      </c>
      <c r="J69" s="3" t="str">
        <f aca="false">IF(I69&gt;=F69, "Ja", "Nein")</f>
        <v>Nein</v>
      </c>
    </row>
    <row r="70" customFormat="false" ht="15" hidden="false" customHeight="true" outlineLevel="0" collapsed="false">
      <c r="A70" s="6" t="n">
        <v>69</v>
      </c>
      <c r="B70" s="6" t="s">
        <v>86</v>
      </c>
      <c r="C70" s="6" t="s">
        <v>82</v>
      </c>
      <c r="D70" s="4" t="s">
        <v>12</v>
      </c>
      <c r="E70" s="6" t="s">
        <v>71</v>
      </c>
      <c r="F70" s="7" t="n">
        <f aca="false">IF(E70="Ja", 12500, 15000) * MAX(0, MIN(1, (28 - MAX(0, DATE(2026,10,22) - DATEVALUE(D70))) / 28))</f>
        <v>12500</v>
      </c>
      <c r="G70" s="7" t="n">
        <f aca="false">SUMIF(Erfasste_Truhen_Feed!C:C, B70, Erfasste_Truhen_Feed!F:F)</f>
        <v>0</v>
      </c>
      <c r="H70" s="7" t="n">
        <f aca="false">IFERROR(VLOOKUP(B70, Turmbau_Tracker!B:E, 4, FALSE()), 0)</f>
        <v>0</v>
      </c>
      <c r="I70" s="7" t="n">
        <f aca="false">G70+H70</f>
        <v>0</v>
      </c>
      <c r="J70" s="6" t="str">
        <f aca="false">IF(I70&gt;=F70, "Ja", "Nein")</f>
        <v>Nein</v>
      </c>
    </row>
    <row r="71" customFormat="false" ht="15" hidden="false" customHeight="true" outlineLevel="0" collapsed="false">
      <c r="A71" s="3" t="n">
        <v>70</v>
      </c>
      <c r="B71" s="3" t="s">
        <v>87</v>
      </c>
      <c r="C71" s="3" t="s">
        <v>82</v>
      </c>
      <c r="D71" s="4" t="s">
        <v>12</v>
      </c>
      <c r="E71" s="3" t="s">
        <v>13</v>
      </c>
      <c r="F71" s="5" t="n">
        <f aca="false">IF(E71="Ja", 12500, 15000) * MAX(0, MIN(1, (28 - MAX(0, DATE(2026,10,22) - DATEVALUE(D71))) / 28))</f>
        <v>15000</v>
      </c>
      <c r="G71" s="5" t="n">
        <f aca="false">SUMIF(Erfasste_Truhen_Feed!C:C, B71, Erfasste_Truhen_Feed!F:F)</f>
        <v>75</v>
      </c>
      <c r="H71" s="5" t="n">
        <f aca="false">IFERROR(VLOOKUP(B71, Turmbau_Tracker!B:E, 4, FALSE()), 0)</f>
        <v>0</v>
      </c>
      <c r="I71" s="5" t="n">
        <f aca="false">G71+H71</f>
        <v>75</v>
      </c>
      <c r="J71" s="3" t="str">
        <f aca="false">IF(I71&gt;=F71, "Ja", "Nein")</f>
        <v>Nein</v>
      </c>
    </row>
    <row r="72" customFormat="false" ht="15" hidden="false" customHeight="true" outlineLevel="0" collapsed="false">
      <c r="A72" s="6" t="n">
        <v>71</v>
      </c>
      <c r="B72" s="6" t="s">
        <v>88</v>
      </c>
      <c r="C72" s="6" t="s">
        <v>82</v>
      </c>
      <c r="D72" s="4" t="s">
        <v>12</v>
      </c>
      <c r="E72" s="6" t="s">
        <v>13</v>
      </c>
      <c r="F72" s="7" t="n">
        <f aca="false">IF(E72="Ja", 12500, 15000) * MAX(0, MIN(1, (28 - MAX(0, DATE(2026,10,22) - DATEVALUE(D72))) / 28))</f>
        <v>15000</v>
      </c>
      <c r="G72" s="7" t="n">
        <f aca="false">SUMIF(Erfasste_Truhen_Feed!C:C, B72, Erfasste_Truhen_Feed!F:F)</f>
        <v>140</v>
      </c>
      <c r="H72" s="7" t="n">
        <f aca="false">IFERROR(VLOOKUP(B72, Turmbau_Tracker!B:E, 4, FALSE()), 0)</f>
        <v>0</v>
      </c>
      <c r="I72" s="7" t="n">
        <f aca="false">G72+H72</f>
        <v>140</v>
      </c>
      <c r="J72" s="6" t="str">
        <f aca="false">IF(I72&gt;=F72, "Ja", "Nein")</f>
        <v>Nein</v>
      </c>
    </row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73"/>
    <col collapsed="false" customWidth="true" hidden="false" outlineLevel="0" max="2" min="2" style="1" width="24"/>
    <col collapsed="false" customWidth="true" hidden="false" outlineLevel="0" max="3" min="3" style="1" width="18"/>
    <col collapsed="false" customWidth="true" hidden="false" outlineLevel="0" max="4" min="4" style="1" width="27"/>
    <col collapsed="false" customWidth="true" hidden="false" outlineLevel="0" max="5" min="5" style="1" width="34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89</v>
      </c>
      <c r="E1" s="2" t="s">
        <v>90</v>
      </c>
    </row>
    <row r="2" customFormat="false" ht="15" hidden="false" customHeight="false" outlineLevel="0" collapsed="false">
      <c r="A2" s="3" t="n">
        <v>1</v>
      </c>
      <c r="B2" s="3" t="s">
        <v>10</v>
      </c>
      <c r="C2" s="3" t="s">
        <v>11</v>
      </c>
      <c r="D2" s="5" t="n">
        <v>0</v>
      </c>
      <c r="E2" s="5" t="n">
        <f aca="false">D2*50</f>
        <v>0</v>
      </c>
    </row>
    <row r="3" customFormat="false" ht="15" hidden="false" customHeight="true" outlineLevel="0" collapsed="false">
      <c r="A3" s="6" t="n">
        <v>2</v>
      </c>
      <c r="B3" s="6" t="s">
        <v>14</v>
      </c>
      <c r="C3" s="6" t="s">
        <v>15</v>
      </c>
      <c r="D3" s="7" t="n">
        <v>0</v>
      </c>
      <c r="E3" s="7" t="n">
        <f aca="false">D3*50</f>
        <v>0</v>
      </c>
    </row>
    <row r="4" customFormat="false" ht="15" hidden="false" customHeight="true" outlineLevel="0" collapsed="false">
      <c r="A4" s="3" t="n">
        <v>3</v>
      </c>
      <c r="B4" s="3" t="s">
        <v>16</v>
      </c>
      <c r="C4" s="3" t="s">
        <v>15</v>
      </c>
      <c r="D4" s="5" t="n">
        <v>0</v>
      </c>
      <c r="E4" s="5" t="n">
        <f aca="false">D4*50</f>
        <v>0</v>
      </c>
    </row>
    <row r="5" customFormat="false" ht="15" hidden="false" customHeight="true" outlineLevel="0" collapsed="false">
      <c r="A5" s="6" t="n">
        <v>4</v>
      </c>
      <c r="B5" s="6" t="s">
        <v>17</v>
      </c>
      <c r="C5" s="6" t="s">
        <v>15</v>
      </c>
      <c r="D5" s="7" t="n">
        <v>0</v>
      </c>
      <c r="E5" s="7" t="n">
        <f aca="false">D5*50</f>
        <v>0</v>
      </c>
    </row>
    <row r="6" customFormat="false" ht="15" hidden="false" customHeight="true" outlineLevel="0" collapsed="false">
      <c r="A6" s="3" t="n">
        <v>5</v>
      </c>
      <c r="B6" s="3" t="s">
        <v>18</v>
      </c>
      <c r="C6" s="3" t="s">
        <v>15</v>
      </c>
      <c r="D6" s="5" t="n">
        <v>0</v>
      </c>
      <c r="E6" s="5" t="n">
        <f aca="false">D6*50</f>
        <v>0</v>
      </c>
    </row>
    <row r="7" customFormat="false" ht="15" hidden="false" customHeight="true" outlineLevel="0" collapsed="false">
      <c r="A7" s="6" t="n">
        <v>6</v>
      </c>
      <c r="B7" s="6" t="s">
        <v>19</v>
      </c>
      <c r="C7" s="6" t="s">
        <v>15</v>
      </c>
      <c r="D7" s="7" t="n">
        <v>0</v>
      </c>
      <c r="E7" s="7" t="n">
        <f aca="false">D7*50</f>
        <v>0</v>
      </c>
    </row>
    <row r="8" customFormat="false" ht="15" hidden="false" customHeight="true" outlineLevel="0" collapsed="false">
      <c r="A8" s="3" t="n">
        <v>7</v>
      </c>
      <c r="B8" s="3" t="s">
        <v>91</v>
      </c>
      <c r="C8" s="3" t="s">
        <v>15</v>
      </c>
      <c r="D8" s="5" t="n">
        <v>0</v>
      </c>
      <c r="E8" s="5" t="n">
        <f aca="false">D8*50</f>
        <v>0</v>
      </c>
    </row>
    <row r="9" customFormat="false" ht="15" hidden="false" customHeight="true" outlineLevel="0" collapsed="false">
      <c r="A9" s="6" t="n">
        <v>8</v>
      </c>
      <c r="B9" s="6" t="s">
        <v>20</v>
      </c>
      <c r="C9" s="6" t="s">
        <v>15</v>
      </c>
      <c r="D9" s="7" t="n">
        <v>0</v>
      </c>
      <c r="E9" s="7" t="n">
        <f aca="false">D9*50</f>
        <v>0</v>
      </c>
    </row>
    <row r="10" customFormat="false" ht="15" hidden="false" customHeight="true" outlineLevel="0" collapsed="false">
      <c r="A10" s="3" t="n">
        <v>9</v>
      </c>
      <c r="B10" s="3" t="s">
        <v>21</v>
      </c>
      <c r="C10" s="3" t="s">
        <v>22</v>
      </c>
      <c r="D10" s="5" t="n">
        <v>0</v>
      </c>
      <c r="E10" s="5" t="n">
        <f aca="false">D10*50</f>
        <v>0</v>
      </c>
    </row>
    <row r="11" customFormat="false" ht="15" hidden="false" customHeight="true" outlineLevel="0" collapsed="false">
      <c r="A11" s="6" t="n">
        <v>10</v>
      </c>
      <c r="B11" s="6" t="s">
        <v>23</v>
      </c>
      <c r="C11" s="6" t="s">
        <v>22</v>
      </c>
      <c r="D11" s="7" t="n">
        <v>0</v>
      </c>
      <c r="E11" s="7" t="n">
        <f aca="false">D11*50</f>
        <v>0</v>
      </c>
    </row>
    <row r="12" customFormat="false" ht="15" hidden="false" customHeight="true" outlineLevel="0" collapsed="false">
      <c r="A12" s="3" t="n">
        <v>11</v>
      </c>
      <c r="B12" s="3" t="s">
        <v>24</v>
      </c>
      <c r="C12" s="3" t="s">
        <v>22</v>
      </c>
      <c r="D12" s="5" t="n">
        <v>0</v>
      </c>
      <c r="E12" s="5" t="n">
        <f aca="false">D12*50</f>
        <v>0</v>
      </c>
    </row>
    <row r="13" customFormat="false" ht="15" hidden="false" customHeight="true" outlineLevel="0" collapsed="false">
      <c r="A13" s="6" t="n">
        <v>12</v>
      </c>
      <c r="B13" s="6" t="s">
        <v>25</v>
      </c>
      <c r="C13" s="6" t="s">
        <v>22</v>
      </c>
      <c r="D13" s="7" t="n">
        <v>0</v>
      </c>
      <c r="E13" s="7" t="n">
        <f aca="false">D13*50</f>
        <v>0</v>
      </c>
    </row>
    <row r="14" customFormat="false" ht="15" hidden="false" customHeight="true" outlineLevel="0" collapsed="false">
      <c r="A14" s="3" t="n">
        <v>13</v>
      </c>
      <c r="B14" s="3" t="s">
        <v>26</v>
      </c>
      <c r="C14" s="3" t="s">
        <v>22</v>
      </c>
      <c r="D14" s="5" t="n">
        <v>0</v>
      </c>
      <c r="E14" s="5" t="n">
        <f aca="false">D14*50</f>
        <v>0</v>
      </c>
    </row>
    <row r="15" customFormat="false" ht="15" hidden="false" customHeight="true" outlineLevel="0" collapsed="false">
      <c r="A15" s="6" t="n">
        <v>14</v>
      </c>
      <c r="B15" s="6" t="s">
        <v>27</v>
      </c>
      <c r="C15" s="6" t="s">
        <v>22</v>
      </c>
      <c r="D15" s="7" t="n">
        <v>0</v>
      </c>
      <c r="E15" s="7" t="n">
        <f aca="false">D15*50</f>
        <v>0</v>
      </c>
    </row>
    <row r="16" customFormat="false" ht="15" hidden="false" customHeight="true" outlineLevel="0" collapsed="false">
      <c r="A16" s="3" t="n">
        <v>15</v>
      </c>
      <c r="B16" s="3" t="s">
        <v>28</v>
      </c>
      <c r="C16" s="3" t="s">
        <v>22</v>
      </c>
      <c r="D16" s="5" t="n">
        <v>0</v>
      </c>
      <c r="E16" s="5" t="n">
        <f aca="false">D16*50</f>
        <v>0</v>
      </c>
    </row>
    <row r="17" customFormat="false" ht="15" hidden="false" customHeight="true" outlineLevel="0" collapsed="false">
      <c r="A17" s="6" t="n">
        <v>16</v>
      </c>
      <c r="B17" s="6" t="s">
        <v>29</v>
      </c>
      <c r="C17" s="6" t="s">
        <v>30</v>
      </c>
      <c r="D17" s="7" t="n">
        <v>0</v>
      </c>
      <c r="E17" s="7" t="n">
        <f aca="false">D17*50</f>
        <v>0</v>
      </c>
    </row>
    <row r="18" customFormat="false" ht="15" hidden="false" customHeight="true" outlineLevel="0" collapsed="false">
      <c r="A18" s="3" t="n">
        <v>17</v>
      </c>
      <c r="B18" s="3" t="s">
        <v>31</v>
      </c>
      <c r="C18" s="3" t="s">
        <v>30</v>
      </c>
      <c r="D18" s="5" t="n">
        <v>0</v>
      </c>
      <c r="E18" s="5" t="n">
        <f aca="false">D18*50</f>
        <v>0</v>
      </c>
    </row>
    <row r="19" customFormat="false" ht="15" hidden="false" customHeight="true" outlineLevel="0" collapsed="false">
      <c r="A19" s="6" t="n">
        <v>18</v>
      </c>
      <c r="B19" s="6" t="s">
        <v>32</v>
      </c>
      <c r="C19" s="6" t="s">
        <v>30</v>
      </c>
      <c r="D19" s="7" t="n">
        <v>0</v>
      </c>
      <c r="E19" s="7" t="n">
        <f aca="false">D19*50</f>
        <v>0</v>
      </c>
    </row>
    <row r="20" customFormat="false" ht="15" hidden="false" customHeight="true" outlineLevel="0" collapsed="false">
      <c r="A20" s="3" t="n">
        <v>19</v>
      </c>
      <c r="B20" s="3" t="s">
        <v>33</v>
      </c>
      <c r="C20" s="3" t="s">
        <v>30</v>
      </c>
      <c r="D20" s="5" t="n">
        <v>0</v>
      </c>
      <c r="E20" s="5" t="n">
        <f aca="false">D20*50</f>
        <v>0</v>
      </c>
    </row>
    <row r="21" customFormat="false" ht="15" hidden="false" customHeight="true" outlineLevel="0" collapsed="false">
      <c r="A21" s="6" t="n">
        <v>20</v>
      </c>
      <c r="B21" s="6" t="s">
        <v>34</v>
      </c>
      <c r="C21" s="6" t="s">
        <v>30</v>
      </c>
      <c r="D21" s="7" t="n">
        <v>0</v>
      </c>
      <c r="E21" s="7" t="n">
        <f aca="false">D21*50</f>
        <v>0</v>
      </c>
    </row>
    <row r="22" customFormat="false" ht="15" hidden="false" customHeight="true" outlineLevel="0" collapsed="false">
      <c r="A22" s="3" t="n">
        <v>21</v>
      </c>
      <c r="B22" s="3" t="s">
        <v>35</v>
      </c>
      <c r="C22" s="3" t="s">
        <v>30</v>
      </c>
      <c r="D22" s="5" t="n">
        <v>0</v>
      </c>
      <c r="E22" s="5" t="n">
        <f aca="false">D22*50</f>
        <v>0</v>
      </c>
    </row>
    <row r="23" customFormat="false" ht="15" hidden="false" customHeight="true" outlineLevel="0" collapsed="false">
      <c r="A23" s="6" t="n">
        <v>22</v>
      </c>
      <c r="B23" s="6" t="s">
        <v>36</v>
      </c>
      <c r="C23" s="6" t="s">
        <v>30</v>
      </c>
      <c r="D23" s="7" t="n">
        <v>0</v>
      </c>
      <c r="E23" s="7" t="n">
        <f aca="false">D23*50</f>
        <v>0</v>
      </c>
    </row>
    <row r="24" customFormat="false" ht="15" hidden="false" customHeight="true" outlineLevel="0" collapsed="false">
      <c r="A24" s="3" t="n">
        <v>23</v>
      </c>
      <c r="B24" s="3" t="s">
        <v>37</v>
      </c>
      <c r="C24" s="3" t="s">
        <v>30</v>
      </c>
      <c r="D24" s="5" t="n">
        <v>0</v>
      </c>
      <c r="E24" s="5" t="n">
        <f aca="false">D24*50</f>
        <v>0</v>
      </c>
    </row>
    <row r="25" customFormat="false" ht="15" hidden="false" customHeight="true" outlineLevel="0" collapsed="false">
      <c r="A25" s="6" t="n">
        <v>24</v>
      </c>
      <c r="B25" s="6" t="s">
        <v>38</v>
      </c>
      <c r="C25" s="6" t="s">
        <v>30</v>
      </c>
      <c r="D25" s="7" t="n">
        <v>0</v>
      </c>
      <c r="E25" s="7" t="n">
        <f aca="false">D25*50</f>
        <v>0</v>
      </c>
    </row>
    <row r="26" customFormat="false" ht="15" hidden="false" customHeight="true" outlineLevel="0" collapsed="false">
      <c r="A26" s="3" t="n">
        <v>25</v>
      </c>
      <c r="B26" s="3" t="s">
        <v>39</v>
      </c>
      <c r="C26" s="3" t="s">
        <v>30</v>
      </c>
      <c r="D26" s="5" t="n">
        <v>0</v>
      </c>
      <c r="E26" s="5" t="n">
        <f aca="false">D26*50</f>
        <v>0</v>
      </c>
    </row>
    <row r="27" customFormat="false" ht="15" hidden="false" customHeight="true" outlineLevel="0" collapsed="false">
      <c r="A27" s="6" t="n">
        <v>26</v>
      </c>
      <c r="B27" s="6" t="s">
        <v>40</v>
      </c>
      <c r="C27" s="6" t="s">
        <v>30</v>
      </c>
      <c r="D27" s="7" t="n">
        <v>0</v>
      </c>
      <c r="E27" s="7" t="n">
        <f aca="false">D27*50</f>
        <v>0</v>
      </c>
    </row>
    <row r="28" customFormat="false" ht="15" hidden="false" customHeight="true" outlineLevel="0" collapsed="false">
      <c r="A28" s="3" t="n">
        <v>27</v>
      </c>
      <c r="B28" s="3" t="s">
        <v>41</v>
      </c>
      <c r="C28" s="3" t="s">
        <v>30</v>
      </c>
      <c r="D28" s="5" t="n">
        <v>0</v>
      </c>
      <c r="E28" s="5" t="n">
        <f aca="false">D28*50</f>
        <v>0</v>
      </c>
    </row>
    <row r="29" customFormat="false" ht="15" hidden="false" customHeight="true" outlineLevel="0" collapsed="false">
      <c r="A29" s="6" t="n">
        <v>28</v>
      </c>
      <c r="B29" s="6" t="s">
        <v>42</v>
      </c>
      <c r="C29" s="6" t="s">
        <v>30</v>
      </c>
      <c r="D29" s="7" t="n">
        <v>0</v>
      </c>
      <c r="E29" s="7" t="n">
        <f aca="false">D29*50</f>
        <v>0</v>
      </c>
    </row>
    <row r="30" customFormat="false" ht="15" hidden="false" customHeight="true" outlineLevel="0" collapsed="false">
      <c r="A30" s="3" t="n">
        <v>29</v>
      </c>
      <c r="B30" s="3" t="s">
        <v>43</v>
      </c>
      <c r="C30" s="3" t="s">
        <v>30</v>
      </c>
      <c r="D30" s="5" t="n">
        <v>0</v>
      </c>
      <c r="E30" s="5" t="n">
        <f aca="false">D30*50</f>
        <v>0</v>
      </c>
    </row>
    <row r="31" customFormat="false" ht="15" hidden="false" customHeight="true" outlineLevel="0" collapsed="false">
      <c r="A31" s="6" t="n">
        <v>30</v>
      </c>
      <c r="B31" s="6" t="s">
        <v>44</v>
      </c>
      <c r="C31" s="6" t="s">
        <v>30</v>
      </c>
      <c r="D31" s="7" t="n">
        <v>0</v>
      </c>
      <c r="E31" s="7" t="n">
        <f aca="false">D31*50</f>
        <v>0</v>
      </c>
    </row>
    <row r="32" customFormat="false" ht="15" hidden="false" customHeight="true" outlineLevel="0" collapsed="false">
      <c r="A32" s="3" t="n">
        <v>31</v>
      </c>
      <c r="B32" s="3" t="s">
        <v>45</v>
      </c>
      <c r="C32" s="3" t="s">
        <v>30</v>
      </c>
      <c r="D32" s="5" t="n">
        <v>0</v>
      </c>
      <c r="E32" s="5" t="n">
        <f aca="false">D32*50</f>
        <v>0</v>
      </c>
    </row>
    <row r="33" customFormat="false" ht="15" hidden="false" customHeight="true" outlineLevel="0" collapsed="false">
      <c r="A33" s="6" t="n">
        <v>32</v>
      </c>
      <c r="B33" s="6" t="s">
        <v>46</v>
      </c>
      <c r="C33" s="6" t="s">
        <v>30</v>
      </c>
      <c r="D33" s="7" t="n">
        <v>0</v>
      </c>
      <c r="E33" s="7" t="n">
        <f aca="false">D33*50</f>
        <v>0</v>
      </c>
    </row>
    <row r="34" customFormat="false" ht="15" hidden="false" customHeight="true" outlineLevel="0" collapsed="false">
      <c r="A34" s="3" t="n">
        <v>33</v>
      </c>
      <c r="B34" s="3" t="s">
        <v>47</v>
      </c>
      <c r="C34" s="3" t="s">
        <v>30</v>
      </c>
      <c r="D34" s="5" t="n">
        <v>0</v>
      </c>
      <c r="E34" s="5" t="n">
        <f aca="false">D34*50</f>
        <v>0</v>
      </c>
    </row>
    <row r="35" customFormat="false" ht="15" hidden="false" customHeight="true" outlineLevel="0" collapsed="false">
      <c r="A35" s="6" t="n">
        <v>34</v>
      </c>
      <c r="B35" s="6" t="s">
        <v>48</v>
      </c>
      <c r="C35" s="6" t="s">
        <v>30</v>
      </c>
      <c r="D35" s="7" t="n">
        <v>0</v>
      </c>
      <c r="E35" s="7" t="n">
        <f aca="false">D35*50</f>
        <v>0</v>
      </c>
    </row>
    <row r="36" customFormat="false" ht="15" hidden="false" customHeight="true" outlineLevel="0" collapsed="false">
      <c r="A36" s="3" t="n">
        <v>35</v>
      </c>
      <c r="B36" s="3" t="s">
        <v>49</v>
      </c>
      <c r="C36" s="3" t="s">
        <v>30</v>
      </c>
      <c r="D36" s="5" t="n">
        <v>0</v>
      </c>
      <c r="E36" s="5" t="n">
        <f aca="false">D36*50</f>
        <v>0</v>
      </c>
    </row>
    <row r="37" customFormat="false" ht="15" hidden="false" customHeight="true" outlineLevel="0" collapsed="false">
      <c r="A37" s="6" t="n">
        <v>36</v>
      </c>
      <c r="B37" s="6" t="s">
        <v>50</v>
      </c>
      <c r="C37" s="6" t="s">
        <v>30</v>
      </c>
      <c r="D37" s="7" t="n">
        <v>0</v>
      </c>
      <c r="E37" s="7" t="n">
        <f aca="false">D37*50</f>
        <v>0</v>
      </c>
    </row>
    <row r="38" customFormat="false" ht="15" hidden="false" customHeight="true" outlineLevel="0" collapsed="false">
      <c r="A38" s="3" t="n">
        <v>37</v>
      </c>
      <c r="B38" s="3" t="s">
        <v>51</v>
      </c>
      <c r="C38" s="3" t="s">
        <v>30</v>
      </c>
      <c r="D38" s="5" t="n">
        <v>0</v>
      </c>
      <c r="E38" s="5" t="n">
        <f aca="false">D38*50</f>
        <v>0</v>
      </c>
    </row>
    <row r="39" customFormat="false" ht="15" hidden="false" customHeight="true" outlineLevel="0" collapsed="false">
      <c r="A39" s="6" t="n">
        <v>38</v>
      </c>
      <c r="B39" s="6" t="s">
        <v>52</v>
      </c>
      <c r="C39" s="6" t="s">
        <v>30</v>
      </c>
      <c r="D39" s="7" t="n">
        <v>0</v>
      </c>
      <c r="E39" s="7" t="n">
        <f aca="false">D39*50</f>
        <v>0</v>
      </c>
    </row>
    <row r="40" customFormat="false" ht="15" hidden="false" customHeight="true" outlineLevel="0" collapsed="false">
      <c r="A40" s="3" t="n">
        <v>39</v>
      </c>
      <c r="B40" s="3" t="s">
        <v>53</v>
      </c>
      <c r="C40" s="3" t="s">
        <v>30</v>
      </c>
      <c r="D40" s="5" t="n">
        <v>0</v>
      </c>
      <c r="E40" s="5" t="n">
        <f aca="false">D40*50</f>
        <v>0</v>
      </c>
    </row>
    <row r="41" customFormat="false" ht="15" hidden="false" customHeight="true" outlineLevel="0" collapsed="false">
      <c r="A41" s="6" t="n">
        <v>40</v>
      </c>
      <c r="B41" s="6" t="s">
        <v>54</v>
      </c>
      <c r="C41" s="6" t="s">
        <v>30</v>
      </c>
      <c r="D41" s="7" t="n">
        <v>0</v>
      </c>
      <c r="E41" s="7" t="n">
        <f aca="false">D41*50</f>
        <v>0</v>
      </c>
    </row>
    <row r="42" customFormat="false" ht="15" hidden="false" customHeight="true" outlineLevel="0" collapsed="false">
      <c r="A42" s="3" t="n">
        <v>41</v>
      </c>
      <c r="B42" s="3" t="s">
        <v>55</v>
      </c>
      <c r="C42" s="3" t="s">
        <v>30</v>
      </c>
      <c r="D42" s="5" t="n">
        <v>0</v>
      </c>
      <c r="E42" s="5" t="n">
        <f aca="false">D42*50</f>
        <v>0</v>
      </c>
    </row>
    <row r="43" customFormat="false" ht="15" hidden="false" customHeight="true" outlineLevel="0" collapsed="false">
      <c r="A43" s="6" t="n">
        <v>42</v>
      </c>
      <c r="B43" s="6" t="s">
        <v>56</v>
      </c>
      <c r="C43" s="6" t="s">
        <v>30</v>
      </c>
      <c r="D43" s="7" t="n">
        <v>0</v>
      </c>
      <c r="E43" s="7" t="n">
        <f aca="false">D43*50</f>
        <v>0</v>
      </c>
    </row>
    <row r="44" customFormat="false" ht="15" hidden="false" customHeight="true" outlineLevel="0" collapsed="false">
      <c r="A44" s="3" t="n">
        <v>43</v>
      </c>
      <c r="B44" s="3" t="s">
        <v>57</v>
      </c>
      <c r="C44" s="3" t="s">
        <v>30</v>
      </c>
      <c r="D44" s="5" t="n">
        <v>0</v>
      </c>
      <c r="E44" s="5" t="n">
        <f aca="false">D44*50</f>
        <v>0</v>
      </c>
    </row>
    <row r="45" customFormat="false" ht="15" hidden="false" customHeight="true" outlineLevel="0" collapsed="false">
      <c r="A45" s="6" t="n">
        <v>44</v>
      </c>
      <c r="B45" s="6" t="s">
        <v>58</v>
      </c>
      <c r="C45" s="6" t="s">
        <v>30</v>
      </c>
      <c r="D45" s="7" t="n">
        <v>0</v>
      </c>
      <c r="E45" s="7" t="n">
        <f aca="false">D45*50</f>
        <v>0</v>
      </c>
    </row>
    <row r="46" customFormat="false" ht="15" hidden="false" customHeight="true" outlineLevel="0" collapsed="false">
      <c r="A46" s="3" t="n">
        <v>45</v>
      </c>
      <c r="B46" s="3" t="s">
        <v>59</v>
      </c>
      <c r="C46" s="3" t="s">
        <v>30</v>
      </c>
      <c r="D46" s="5" t="n">
        <v>0</v>
      </c>
      <c r="E46" s="5" t="n">
        <f aca="false">D46*50</f>
        <v>0</v>
      </c>
    </row>
    <row r="47" customFormat="false" ht="15" hidden="false" customHeight="true" outlineLevel="0" collapsed="false">
      <c r="A47" s="6" t="n">
        <v>46</v>
      </c>
      <c r="B47" s="6" t="s">
        <v>60</v>
      </c>
      <c r="C47" s="6" t="s">
        <v>30</v>
      </c>
      <c r="D47" s="7" t="n">
        <v>0</v>
      </c>
      <c r="E47" s="7" t="n">
        <f aca="false">D47*50</f>
        <v>0</v>
      </c>
    </row>
    <row r="48" customFormat="false" ht="15" hidden="false" customHeight="true" outlineLevel="0" collapsed="false">
      <c r="A48" s="3" t="n">
        <v>47</v>
      </c>
      <c r="B48" s="3" t="s">
        <v>61</v>
      </c>
      <c r="C48" s="3" t="s">
        <v>30</v>
      </c>
      <c r="D48" s="5" t="n">
        <v>0</v>
      </c>
      <c r="E48" s="5" t="n">
        <f aca="false">D48*50</f>
        <v>0</v>
      </c>
    </row>
    <row r="49" customFormat="false" ht="15" hidden="false" customHeight="true" outlineLevel="0" collapsed="false">
      <c r="A49" s="6" t="n">
        <v>48</v>
      </c>
      <c r="B49" s="6" t="s">
        <v>62</v>
      </c>
      <c r="C49" s="6" t="s">
        <v>30</v>
      </c>
      <c r="D49" s="7" t="n">
        <v>0</v>
      </c>
      <c r="E49" s="7" t="n">
        <f aca="false">D49*50</f>
        <v>0</v>
      </c>
    </row>
    <row r="50" customFormat="false" ht="15" hidden="false" customHeight="true" outlineLevel="0" collapsed="false">
      <c r="A50" s="3" t="n">
        <v>49</v>
      </c>
      <c r="B50" s="3" t="s">
        <v>63</v>
      </c>
      <c r="C50" s="3" t="s">
        <v>30</v>
      </c>
      <c r="D50" s="5" t="n">
        <v>0</v>
      </c>
      <c r="E50" s="5" t="n">
        <f aca="false">D50*50</f>
        <v>0</v>
      </c>
    </row>
    <row r="51" customFormat="false" ht="15" hidden="false" customHeight="true" outlineLevel="0" collapsed="false">
      <c r="A51" s="6" t="n">
        <v>50</v>
      </c>
      <c r="B51" s="6" t="s">
        <v>64</v>
      </c>
      <c r="C51" s="6" t="s">
        <v>30</v>
      </c>
      <c r="D51" s="7" t="n">
        <v>0</v>
      </c>
      <c r="E51" s="7" t="n">
        <f aca="false">D51*50</f>
        <v>0</v>
      </c>
    </row>
    <row r="52" customFormat="false" ht="15" hidden="false" customHeight="true" outlineLevel="0" collapsed="false">
      <c r="A52" s="3" t="n">
        <v>51</v>
      </c>
      <c r="B52" s="3" t="s">
        <v>65</v>
      </c>
      <c r="C52" s="3" t="s">
        <v>30</v>
      </c>
      <c r="D52" s="5" t="n">
        <v>0</v>
      </c>
      <c r="E52" s="5" t="n">
        <f aca="false">D52*50</f>
        <v>0</v>
      </c>
    </row>
    <row r="53" customFormat="false" ht="15" hidden="false" customHeight="true" outlineLevel="0" collapsed="false">
      <c r="A53" s="6" t="n">
        <v>52</v>
      </c>
      <c r="B53" s="6" t="s">
        <v>66</v>
      </c>
      <c r="C53" s="6" t="s">
        <v>30</v>
      </c>
      <c r="D53" s="7" t="n">
        <v>0</v>
      </c>
      <c r="E53" s="7" t="n">
        <f aca="false">D53*50</f>
        <v>0</v>
      </c>
    </row>
    <row r="54" customFormat="false" ht="15" hidden="false" customHeight="true" outlineLevel="0" collapsed="false">
      <c r="A54" s="3" t="n">
        <v>53</v>
      </c>
      <c r="B54" s="3" t="s">
        <v>67</v>
      </c>
      <c r="C54" s="3" t="s">
        <v>30</v>
      </c>
      <c r="D54" s="5" t="n">
        <v>0</v>
      </c>
      <c r="E54" s="5" t="n">
        <f aca="false">D54*50</f>
        <v>0</v>
      </c>
    </row>
    <row r="55" customFormat="false" ht="15" hidden="false" customHeight="true" outlineLevel="0" collapsed="false">
      <c r="A55" s="6" t="n">
        <v>54</v>
      </c>
      <c r="B55" s="6" t="s">
        <v>68</v>
      </c>
      <c r="C55" s="6" t="s">
        <v>30</v>
      </c>
      <c r="D55" s="7" t="n">
        <v>0</v>
      </c>
      <c r="E55" s="7" t="n">
        <f aca="false">D55*50</f>
        <v>0</v>
      </c>
    </row>
    <row r="56" customFormat="false" ht="15" hidden="false" customHeight="true" outlineLevel="0" collapsed="false">
      <c r="A56" s="3" t="n">
        <v>55</v>
      </c>
      <c r="B56" s="3" t="s">
        <v>69</v>
      </c>
      <c r="C56" s="3" t="s">
        <v>30</v>
      </c>
      <c r="D56" s="5" t="n">
        <v>0</v>
      </c>
      <c r="E56" s="5" t="n">
        <f aca="false">D56*50</f>
        <v>0</v>
      </c>
    </row>
    <row r="57" customFormat="false" ht="15" hidden="false" customHeight="true" outlineLevel="0" collapsed="false">
      <c r="A57" s="6" t="n">
        <v>56</v>
      </c>
      <c r="B57" s="6" t="s">
        <v>70</v>
      </c>
      <c r="C57" s="6" t="s">
        <v>30</v>
      </c>
      <c r="D57" s="7" t="n">
        <v>0</v>
      </c>
      <c r="E57" s="7" t="n">
        <f aca="false">D57*50</f>
        <v>0</v>
      </c>
    </row>
    <row r="58" customFormat="false" ht="15" hidden="false" customHeight="true" outlineLevel="0" collapsed="false">
      <c r="A58" s="3" t="n">
        <v>57</v>
      </c>
      <c r="B58" s="3" t="s">
        <v>72</v>
      </c>
      <c r="C58" s="3" t="s">
        <v>30</v>
      </c>
      <c r="D58" s="5" t="n">
        <v>0</v>
      </c>
      <c r="E58" s="5" t="n">
        <f aca="false">D58*50</f>
        <v>0</v>
      </c>
    </row>
    <row r="59" customFormat="false" ht="15" hidden="false" customHeight="true" outlineLevel="0" collapsed="false">
      <c r="A59" s="6" t="n">
        <v>58</v>
      </c>
      <c r="B59" s="6" t="s">
        <v>73</v>
      </c>
      <c r="C59" s="6" t="s">
        <v>30</v>
      </c>
      <c r="D59" s="7" t="n">
        <v>0</v>
      </c>
      <c r="E59" s="7" t="n">
        <f aca="false">D59*50</f>
        <v>0</v>
      </c>
    </row>
    <row r="60" customFormat="false" ht="15" hidden="false" customHeight="true" outlineLevel="0" collapsed="false">
      <c r="A60" s="3" t="n">
        <v>59</v>
      </c>
      <c r="B60" s="3" t="s">
        <v>74</v>
      </c>
      <c r="C60" s="3" t="s">
        <v>30</v>
      </c>
      <c r="D60" s="5" t="n">
        <v>0</v>
      </c>
      <c r="E60" s="5" t="n">
        <f aca="false">D60*50</f>
        <v>0</v>
      </c>
    </row>
    <row r="61" customFormat="false" ht="15" hidden="false" customHeight="true" outlineLevel="0" collapsed="false">
      <c r="A61" s="6" t="n">
        <v>60</v>
      </c>
      <c r="B61" s="6" t="s">
        <v>92</v>
      </c>
      <c r="C61" s="6" t="s">
        <v>30</v>
      </c>
      <c r="D61" s="7" t="n">
        <v>0</v>
      </c>
      <c r="E61" s="7" t="n">
        <f aca="false">D61*50</f>
        <v>0</v>
      </c>
    </row>
    <row r="62" customFormat="false" ht="15" hidden="false" customHeight="true" outlineLevel="0" collapsed="false">
      <c r="A62" s="3" t="n">
        <v>61</v>
      </c>
      <c r="B62" s="3" t="s">
        <v>75</v>
      </c>
      <c r="C62" s="3" t="s">
        <v>30</v>
      </c>
      <c r="D62" s="5" t="n">
        <v>0</v>
      </c>
      <c r="E62" s="5" t="n">
        <f aca="false">D62*50</f>
        <v>0</v>
      </c>
    </row>
    <row r="63" customFormat="false" ht="15" hidden="false" customHeight="true" outlineLevel="0" collapsed="false">
      <c r="A63" s="6" t="n">
        <v>62</v>
      </c>
      <c r="B63" s="6" t="s">
        <v>76</v>
      </c>
      <c r="C63" s="6" t="s">
        <v>30</v>
      </c>
      <c r="D63" s="7" t="n">
        <v>0</v>
      </c>
      <c r="E63" s="7" t="n">
        <f aca="false">D63*50</f>
        <v>0</v>
      </c>
    </row>
    <row r="64" customFormat="false" ht="15" hidden="false" customHeight="true" outlineLevel="0" collapsed="false">
      <c r="A64" s="3" t="n">
        <v>63</v>
      </c>
      <c r="B64" s="3" t="s">
        <v>77</v>
      </c>
      <c r="C64" s="3" t="s">
        <v>30</v>
      </c>
      <c r="D64" s="5" t="n">
        <v>0</v>
      </c>
      <c r="E64" s="5" t="n">
        <f aca="false">D64*50</f>
        <v>0</v>
      </c>
    </row>
    <row r="65" customFormat="false" ht="15" hidden="false" customHeight="true" outlineLevel="0" collapsed="false">
      <c r="A65" s="3" t="n">
        <v>64</v>
      </c>
      <c r="B65" s="3" t="s">
        <v>78</v>
      </c>
      <c r="C65" s="3" t="s">
        <v>30</v>
      </c>
      <c r="D65" s="5" t="n">
        <v>0</v>
      </c>
      <c r="E65" s="5" t="n">
        <f aca="false">D65*50</f>
        <v>0</v>
      </c>
    </row>
    <row r="66" customFormat="false" ht="15" hidden="false" customHeight="true" outlineLevel="0" collapsed="false">
      <c r="A66" s="6" t="n">
        <v>65</v>
      </c>
      <c r="B66" s="6" t="s">
        <v>79</v>
      </c>
      <c r="C66" s="6" t="s">
        <v>30</v>
      </c>
      <c r="D66" s="7" t="n">
        <v>0</v>
      </c>
      <c r="E66" s="7" t="n">
        <f aca="false">D66*50</f>
        <v>0</v>
      </c>
    </row>
    <row r="67" customFormat="false" ht="15" hidden="false" customHeight="true" outlineLevel="0" collapsed="false">
      <c r="A67" s="8" t="n">
        <v>66</v>
      </c>
      <c r="B67" s="8" t="s">
        <v>80</v>
      </c>
      <c r="C67" s="8" t="s">
        <v>30</v>
      </c>
      <c r="D67" s="8" t="n">
        <v>0</v>
      </c>
      <c r="E67" s="8" t="n">
        <f aca="false">D67*50</f>
        <v>0</v>
      </c>
    </row>
    <row r="68" customFormat="false" ht="15" hidden="false" customHeight="true" outlineLevel="0" collapsed="false">
      <c r="A68" s="3" t="n">
        <v>67</v>
      </c>
      <c r="B68" s="3" t="s">
        <v>81</v>
      </c>
      <c r="C68" s="3" t="s">
        <v>82</v>
      </c>
      <c r="D68" s="5" t="n">
        <v>0</v>
      </c>
      <c r="E68" s="5" t="n">
        <f aca="false">D68*50</f>
        <v>0</v>
      </c>
    </row>
    <row r="69" customFormat="false" ht="15" hidden="false" customHeight="true" outlineLevel="0" collapsed="false">
      <c r="A69" s="6" t="n">
        <v>68</v>
      </c>
      <c r="B69" s="6" t="s">
        <v>83</v>
      </c>
      <c r="C69" s="6" t="s">
        <v>82</v>
      </c>
      <c r="D69" s="7" t="n">
        <v>0</v>
      </c>
      <c r="E69" s="7" t="n">
        <f aca="false">D69*50</f>
        <v>0</v>
      </c>
    </row>
    <row r="70" customFormat="false" ht="15" hidden="false" customHeight="true" outlineLevel="0" collapsed="false">
      <c r="A70" s="3" t="n">
        <v>69</v>
      </c>
      <c r="B70" s="3" t="s">
        <v>84</v>
      </c>
      <c r="C70" s="3" t="s">
        <v>82</v>
      </c>
      <c r="D70" s="5" t="n">
        <v>0</v>
      </c>
      <c r="E70" s="5" t="n">
        <f aca="false">D70*50</f>
        <v>0</v>
      </c>
    </row>
    <row r="71" customFormat="false" ht="15" hidden="false" customHeight="true" outlineLevel="0" collapsed="false">
      <c r="A71" s="3" t="n">
        <v>70</v>
      </c>
      <c r="B71" s="3" t="s">
        <v>85</v>
      </c>
      <c r="C71" s="3" t="s">
        <v>82</v>
      </c>
      <c r="D71" s="5" t="n">
        <v>0</v>
      </c>
      <c r="E71" s="5" t="n">
        <f aca="false">D71*50</f>
        <v>0</v>
      </c>
    </row>
    <row r="72" customFormat="false" ht="15" hidden="false" customHeight="true" outlineLevel="0" collapsed="false">
      <c r="A72" s="6" t="n">
        <v>71</v>
      </c>
      <c r="B72" s="6" t="s">
        <v>86</v>
      </c>
      <c r="C72" s="6" t="s">
        <v>82</v>
      </c>
      <c r="D72" s="7" t="n">
        <v>0</v>
      </c>
      <c r="E72" s="7" t="n">
        <f aca="false">D72*50</f>
        <v>0</v>
      </c>
    </row>
    <row r="73" customFormat="false" ht="15" hidden="false" customHeight="true" outlineLevel="0" collapsed="false">
      <c r="A73" s="3" t="n">
        <v>72</v>
      </c>
      <c r="B73" s="3" t="s">
        <v>87</v>
      </c>
      <c r="C73" s="3" t="s">
        <v>82</v>
      </c>
      <c r="D73" s="5" t="n">
        <v>0</v>
      </c>
      <c r="E73" s="5" t="n">
        <f aca="false">D73*50</f>
        <v>0</v>
      </c>
    </row>
    <row r="74" customFormat="false" ht="15" hidden="false" customHeight="true" outlineLevel="0" collapsed="false">
      <c r="A74" s="6" t="n">
        <v>73</v>
      </c>
      <c r="B74" s="6" t="s">
        <v>88</v>
      </c>
      <c r="C74" s="6" t="s">
        <v>82</v>
      </c>
      <c r="D74" s="7" t="n">
        <v>0</v>
      </c>
      <c r="E74" s="7" t="n">
        <f aca="false">D74*50</f>
        <v>0</v>
      </c>
    </row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0"/>
  <sheetViews>
    <sheetView showFormulas="false" showGridLines="true" showRowColHeaders="true" showZeros="true" rightToLeft="false" tabSelected="false" showOutlineSymbols="true" defaultGridColor="true" view="normal" topLeftCell="A214" colorId="64" zoomScale="100" zoomScaleNormal="100" zoomScalePageLayoutView="100" workbookViewId="0">
      <selection pane="topLeft" activeCell="F227" activeCellId="0" sqref="F227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8"/>
    <col collapsed="false" customWidth="true" hidden="false" outlineLevel="0" max="3" min="3" style="1" width="23"/>
    <col collapsed="false" customWidth="true" hidden="false" outlineLevel="0" max="4" min="4" style="1" width="39"/>
    <col collapsed="false" customWidth="true" hidden="false" outlineLevel="0" max="5" min="5" style="1" width="46"/>
    <col collapsed="false" customWidth="true" hidden="false" outlineLevel="0" max="6" min="6" style="1" width="18"/>
  </cols>
  <sheetData>
    <row r="1" customFormat="false" ht="15" hidden="false" customHeight="true" outlineLevel="0" collapsed="false">
      <c r="A1" s="2" t="s">
        <v>93</v>
      </c>
      <c r="B1" s="2" t="s">
        <v>94</v>
      </c>
      <c r="C1" s="2" t="s">
        <v>1</v>
      </c>
      <c r="D1" s="2" t="s">
        <v>95</v>
      </c>
      <c r="E1" s="2" t="s">
        <v>96</v>
      </c>
      <c r="F1" s="2" t="s">
        <v>97</v>
      </c>
    </row>
    <row r="2" customFormat="false" ht="15" hidden="false" customHeight="true" outlineLevel="0" collapsed="false">
      <c r="A2" s="8" t="s">
        <v>98</v>
      </c>
      <c r="B2" s="8" t="s">
        <v>99</v>
      </c>
      <c r="C2" s="8" t="s">
        <v>27</v>
      </c>
      <c r="D2" s="8" t="s">
        <v>100</v>
      </c>
      <c r="E2" s="8" t="s">
        <v>101</v>
      </c>
      <c r="F2" s="8" t="n">
        <v>0</v>
      </c>
    </row>
    <row r="3" customFormat="false" ht="15" hidden="false" customHeight="true" outlineLevel="0" collapsed="false">
      <c r="A3" s="8" t="s">
        <v>102</v>
      </c>
      <c r="B3" s="8" t="s">
        <v>103</v>
      </c>
      <c r="C3" s="8" t="s">
        <v>88</v>
      </c>
      <c r="D3" s="8" t="s">
        <v>100</v>
      </c>
      <c r="E3" s="8" t="s">
        <v>104</v>
      </c>
      <c r="F3" s="8" t="n">
        <v>20</v>
      </c>
    </row>
    <row r="4" customFormat="false" ht="15" hidden="false" customHeight="true" outlineLevel="0" collapsed="false">
      <c r="A4" s="8" t="s">
        <v>102</v>
      </c>
      <c r="B4" s="8" t="s">
        <v>105</v>
      </c>
      <c r="C4" s="8" t="s">
        <v>34</v>
      </c>
      <c r="D4" s="8" t="s">
        <v>106</v>
      </c>
      <c r="E4" s="8" t="s">
        <v>107</v>
      </c>
      <c r="F4" s="8" t="n">
        <v>50</v>
      </c>
    </row>
    <row r="5" customFormat="false" ht="15" hidden="false" customHeight="true" outlineLevel="0" collapsed="false">
      <c r="A5" s="8" t="s">
        <v>102</v>
      </c>
      <c r="B5" s="8" t="s">
        <v>108</v>
      </c>
      <c r="C5" s="8" t="s">
        <v>70</v>
      </c>
      <c r="D5" s="8" t="s">
        <v>109</v>
      </c>
      <c r="E5" s="8" t="s">
        <v>110</v>
      </c>
      <c r="F5" s="8" t="n">
        <v>0</v>
      </c>
    </row>
    <row r="6" customFormat="false" ht="15" hidden="false" customHeight="true" outlineLevel="0" collapsed="false">
      <c r="A6" s="8" t="s">
        <v>102</v>
      </c>
      <c r="B6" s="8" t="s">
        <v>111</v>
      </c>
      <c r="C6" s="8" t="s">
        <v>27</v>
      </c>
      <c r="D6" s="8" t="s">
        <v>112</v>
      </c>
      <c r="E6" s="8" t="s">
        <v>104</v>
      </c>
      <c r="F6" s="8" t="n">
        <v>20</v>
      </c>
    </row>
    <row r="7" customFormat="false" ht="15" hidden="false" customHeight="true" outlineLevel="0" collapsed="false">
      <c r="A7" s="8" t="s">
        <v>102</v>
      </c>
      <c r="B7" s="8" t="s">
        <v>113</v>
      </c>
      <c r="C7" s="8" t="s">
        <v>70</v>
      </c>
      <c r="D7" s="8" t="s">
        <v>114</v>
      </c>
      <c r="E7" s="8" t="s">
        <v>115</v>
      </c>
      <c r="F7" s="8" t="n">
        <v>0</v>
      </c>
    </row>
    <row r="8" customFormat="false" ht="15" hidden="false" customHeight="true" outlineLevel="0" collapsed="false">
      <c r="A8" s="8" t="s">
        <v>102</v>
      </c>
      <c r="B8" s="8" t="s">
        <v>116</v>
      </c>
      <c r="C8" s="8" t="s">
        <v>34</v>
      </c>
      <c r="D8" s="8" t="s">
        <v>112</v>
      </c>
      <c r="E8" s="8" t="s">
        <v>117</v>
      </c>
      <c r="F8" s="8" t="n">
        <v>25</v>
      </c>
    </row>
    <row r="9" customFormat="false" ht="15" hidden="false" customHeight="true" outlineLevel="0" collapsed="false">
      <c r="A9" s="8" t="s">
        <v>102</v>
      </c>
      <c r="B9" s="8" t="s">
        <v>118</v>
      </c>
      <c r="C9" s="8" t="s">
        <v>34</v>
      </c>
      <c r="D9" s="8" t="s">
        <v>119</v>
      </c>
      <c r="E9" s="8" t="s">
        <v>117</v>
      </c>
      <c r="F9" s="8" t="n">
        <v>25</v>
      </c>
    </row>
    <row r="10" customFormat="false" ht="15" hidden="false" customHeight="true" outlineLevel="0" collapsed="false">
      <c r="A10" s="8" t="s">
        <v>102</v>
      </c>
      <c r="B10" s="8" t="s">
        <v>120</v>
      </c>
      <c r="C10" s="8" t="s">
        <v>28</v>
      </c>
      <c r="D10" s="8" t="s">
        <v>100</v>
      </c>
      <c r="E10" s="8" t="s">
        <v>117</v>
      </c>
      <c r="F10" s="8" t="n">
        <v>50</v>
      </c>
    </row>
    <row r="11" customFormat="false" ht="15" hidden="false" customHeight="true" outlineLevel="0" collapsed="false">
      <c r="A11" s="8" t="s">
        <v>121</v>
      </c>
      <c r="B11" s="8" t="s">
        <v>122</v>
      </c>
      <c r="C11" s="8" t="s">
        <v>70</v>
      </c>
      <c r="D11" s="8" t="s">
        <v>123</v>
      </c>
      <c r="E11" s="8" t="s">
        <v>110</v>
      </c>
      <c r="F11" s="8" t="n">
        <v>0</v>
      </c>
    </row>
    <row r="12" customFormat="false" ht="15" hidden="false" customHeight="true" outlineLevel="0" collapsed="false">
      <c r="A12" s="8" t="s">
        <v>121</v>
      </c>
      <c r="B12" s="8" t="s">
        <v>124</v>
      </c>
      <c r="C12" s="8" t="s">
        <v>28</v>
      </c>
      <c r="D12" s="8" t="s">
        <v>125</v>
      </c>
      <c r="E12" s="8" t="s">
        <v>117</v>
      </c>
      <c r="F12" s="8" t="n">
        <v>25</v>
      </c>
    </row>
    <row r="13" customFormat="false" ht="15" hidden="false" customHeight="true" outlineLevel="0" collapsed="false">
      <c r="A13" s="8" t="s">
        <v>121</v>
      </c>
      <c r="B13" s="8" t="s">
        <v>126</v>
      </c>
      <c r="C13" s="8" t="s">
        <v>45</v>
      </c>
      <c r="D13" s="8" t="s">
        <v>127</v>
      </c>
      <c r="E13" s="8" t="s">
        <v>117</v>
      </c>
      <c r="F13" s="8" t="n">
        <v>25</v>
      </c>
    </row>
    <row r="14" customFormat="false" ht="15" hidden="false" customHeight="true" outlineLevel="0" collapsed="false">
      <c r="A14" s="8" t="s">
        <v>121</v>
      </c>
      <c r="B14" s="8" t="s">
        <v>128</v>
      </c>
      <c r="C14" s="8" t="s">
        <v>47</v>
      </c>
      <c r="D14" s="8" t="s">
        <v>119</v>
      </c>
      <c r="E14" s="8" t="s">
        <v>117</v>
      </c>
      <c r="F14" s="8" t="n">
        <v>25</v>
      </c>
    </row>
    <row r="15" customFormat="false" ht="15" hidden="false" customHeight="true" outlineLevel="0" collapsed="false">
      <c r="A15" s="8" t="s">
        <v>121</v>
      </c>
      <c r="B15" s="8" t="s">
        <v>129</v>
      </c>
      <c r="C15" s="8" t="s">
        <v>47</v>
      </c>
      <c r="D15" s="8" t="s">
        <v>130</v>
      </c>
      <c r="E15" s="8" t="s">
        <v>117</v>
      </c>
      <c r="F15" s="8" t="n">
        <v>25</v>
      </c>
    </row>
    <row r="16" customFormat="false" ht="15" hidden="false" customHeight="true" outlineLevel="0" collapsed="false">
      <c r="A16" s="8" t="s">
        <v>121</v>
      </c>
      <c r="B16" s="8" t="s">
        <v>131</v>
      </c>
      <c r="C16" s="8" t="s">
        <v>24</v>
      </c>
      <c r="D16" s="8" t="s">
        <v>132</v>
      </c>
      <c r="E16" s="8" t="s">
        <v>117</v>
      </c>
      <c r="F16" s="8" t="n">
        <v>25</v>
      </c>
    </row>
    <row r="17" customFormat="false" ht="15" hidden="false" customHeight="true" outlineLevel="0" collapsed="false">
      <c r="A17" s="8" t="s">
        <v>121</v>
      </c>
      <c r="B17" s="8" t="s">
        <v>133</v>
      </c>
      <c r="C17" s="8" t="s">
        <v>48</v>
      </c>
      <c r="D17" s="8" t="s">
        <v>134</v>
      </c>
      <c r="E17" s="8" t="s">
        <v>135</v>
      </c>
      <c r="F17" s="8" t="n">
        <v>50</v>
      </c>
    </row>
    <row r="18" customFormat="false" ht="15" hidden="false" customHeight="true" outlineLevel="0" collapsed="false">
      <c r="A18" s="8" t="s">
        <v>121</v>
      </c>
      <c r="B18" s="8" t="s">
        <v>136</v>
      </c>
      <c r="C18" s="8" t="s">
        <v>47</v>
      </c>
      <c r="D18" s="8" t="s">
        <v>125</v>
      </c>
      <c r="E18" s="8" t="s">
        <v>117</v>
      </c>
      <c r="F18" s="8" t="n">
        <v>25</v>
      </c>
    </row>
    <row r="19" customFormat="false" ht="15" hidden="false" customHeight="true" outlineLevel="0" collapsed="false">
      <c r="A19" s="8" t="s">
        <v>121</v>
      </c>
      <c r="B19" s="8" t="s">
        <v>137</v>
      </c>
      <c r="C19" s="8" t="s">
        <v>47</v>
      </c>
      <c r="D19" s="8" t="s">
        <v>130</v>
      </c>
      <c r="E19" s="8" t="s">
        <v>117</v>
      </c>
      <c r="F19" s="8" t="n">
        <v>25</v>
      </c>
    </row>
    <row r="20" customFormat="false" ht="15" hidden="false" customHeight="true" outlineLevel="0" collapsed="false">
      <c r="A20" s="8" t="s">
        <v>121</v>
      </c>
      <c r="B20" s="8" t="s">
        <v>138</v>
      </c>
      <c r="C20" s="8" t="s">
        <v>24</v>
      </c>
      <c r="D20" s="8" t="s">
        <v>132</v>
      </c>
      <c r="E20" s="8" t="s">
        <v>117</v>
      </c>
      <c r="F20" s="8" t="n">
        <v>25</v>
      </c>
    </row>
    <row r="21" customFormat="false" ht="15" hidden="false" customHeight="true" outlineLevel="0" collapsed="false">
      <c r="A21" s="8" t="s">
        <v>121</v>
      </c>
      <c r="B21" s="8" t="s">
        <v>139</v>
      </c>
      <c r="C21" s="8" t="s">
        <v>48</v>
      </c>
      <c r="D21" s="8" t="s">
        <v>134</v>
      </c>
      <c r="E21" s="8" t="s">
        <v>135</v>
      </c>
      <c r="F21" s="8" t="n">
        <v>50</v>
      </c>
    </row>
    <row r="22" customFormat="false" ht="15" hidden="false" customHeight="true" outlineLevel="0" collapsed="false">
      <c r="A22" s="8" t="s">
        <v>121</v>
      </c>
      <c r="B22" s="8" t="s">
        <v>140</v>
      </c>
      <c r="C22" s="8" t="s">
        <v>24</v>
      </c>
      <c r="D22" s="8" t="s">
        <v>127</v>
      </c>
      <c r="E22" s="8" t="s">
        <v>117</v>
      </c>
      <c r="F22" s="8" t="n">
        <v>25</v>
      </c>
    </row>
    <row r="23" customFormat="false" ht="15" hidden="false" customHeight="true" outlineLevel="0" collapsed="false">
      <c r="A23" s="8" t="s">
        <v>121</v>
      </c>
      <c r="B23" s="8" t="s">
        <v>141</v>
      </c>
      <c r="C23" s="8" t="s">
        <v>24</v>
      </c>
      <c r="D23" s="8" t="s">
        <v>125</v>
      </c>
      <c r="E23" s="8" t="s">
        <v>117</v>
      </c>
      <c r="F23" s="8" t="n">
        <v>25</v>
      </c>
    </row>
    <row r="24" customFormat="false" ht="15" hidden="false" customHeight="true" outlineLevel="0" collapsed="false">
      <c r="A24" s="8" t="s">
        <v>121</v>
      </c>
      <c r="B24" s="8" t="s">
        <v>142</v>
      </c>
      <c r="C24" s="8" t="s">
        <v>48</v>
      </c>
      <c r="D24" s="8" t="s">
        <v>127</v>
      </c>
      <c r="E24" s="8" t="s">
        <v>117</v>
      </c>
      <c r="F24" s="8" t="n">
        <v>25</v>
      </c>
    </row>
    <row r="25" customFormat="false" ht="15" hidden="false" customHeight="true" outlineLevel="0" collapsed="false">
      <c r="A25" s="8" t="s">
        <v>121</v>
      </c>
      <c r="B25" s="8" t="s">
        <v>143</v>
      </c>
      <c r="C25" s="8" t="s">
        <v>48</v>
      </c>
      <c r="D25" s="8" t="s">
        <v>119</v>
      </c>
      <c r="E25" s="8" t="s">
        <v>117</v>
      </c>
      <c r="F25" s="8" t="n">
        <v>25</v>
      </c>
    </row>
    <row r="26" customFormat="false" ht="15" hidden="false" customHeight="true" outlineLevel="0" collapsed="false">
      <c r="A26" s="8" t="s">
        <v>121</v>
      </c>
      <c r="B26" s="8" t="s">
        <v>144</v>
      </c>
      <c r="C26" s="8" t="s">
        <v>16</v>
      </c>
      <c r="D26" s="8" t="s">
        <v>106</v>
      </c>
      <c r="E26" s="8" t="s">
        <v>145</v>
      </c>
      <c r="F26" s="8" t="n">
        <v>50</v>
      </c>
    </row>
    <row r="27" customFormat="false" ht="15" hidden="false" customHeight="true" outlineLevel="0" collapsed="false">
      <c r="A27" s="8" t="s">
        <v>146</v>
      </c>
      <c r="B27" s="8" t="s">
        <v>147</v>
      </c>
      <c r="C27" s="8" t="s">
        <v>48</v>
      </c>
      <c r="D27" s="8" t="s">
        <v>109</v>
      </c>
      <c r="E27" s="8" t="s">
        <v>117</v>
      </c>
      <c r="F27" s="8" t="n">
        <v>25</v>
      </c>
    </row>
    <row r="28" customFormat="false" ht="15" hidden="false" customHeight="true" outlineLevel="0" collapsed="false">
      <c r="A28" s="8" t="s">
        <v>146</v>
      </c>
      <c r="B28" s="8" t="s">
        <v>148</v>
      </c>
      <c r="C28" s="8" t="s">
        <v>24</v>
      </c>
      <c r="D28" s="8" t="s">
        <v>149</v>
      </c>
      <c r="E28" s="8" t="s">
        <v>117</v>
      </c>
      <c r="F28" s="8" t="n">
        <v>25</v>
      </c>
    </row>
    <row r="29" customFormat="false" ht="15" hidden="false" customHeight="true" outlineLevel="0" collapsed="false">
      <c r="A29" s="8" t="s">
        <v>146</v>
      </c>
      <c r="B29" s="8" t="s">
        <v>150</v>
      </c>
      <c r="C29" s="8" t="s">
        <v>24</v>
      </c>
      <c r="D29" s="8" t="s">
        <v>119</v>
      </c>
      <c r="E29" s="8" t="s">
        <v>117</v>
      </c>
      <c r="F29" s="8" t="n">
        <v>25</v>
      </c>
    </row>
    <row r="30" customFormat="false" ht="15" hidden="false" customHeight="true" outlineLevel="0" collapsed="false">
      <c r="A30" s="8" t="s">
        <v>146</v>
      </c>
      <c r="B30" s="8" t="s">
        <v>151</v>
      </c>
      <c r="C30" s="8" t="s">
        <v>47</v>
      </c>
      <c r="D30" s="8" t="s">
        <v>134</v>
      </c>
      <c r="E30" s="8" t="s">
        <v>152</v>
      </c>
      <c r="F30" s="8" t="n">
        <v>50</v>
      </c>
    </row>
    <row r="31" customFormat="false" ht="15" hidden="false" customHeight="true" outlineLevel="0" collapsed="false">
      <c r="A31" s="8" t="s">
        <v>146</v>
      </c>
      <c r="B31" s="8" t="s">
        <v>153</v>
      </c>
      <c r="C31" s="8" t="s">
        <v>48</v>
      </c>
      <c r="D31" s="8" t="s">
        <v>149</v>
      </c>
      <c r="E31" s="8" t="s">
        <v>117</v>
      </c>
      <c r="F31" s="8" t="n">
        <v>25</v>
      </c>
    </row>
    <row r="32" customFormat="false" ht="15" hidden="false" customHeight="true" outlineLevel="0" collapsed="false">
      <c r="A32" s="8" t="s">
        <v>154</v>
      </c>
      <c r="B32" s="8" t="s">
        <v>155</v>
      </c>
      <c r="C32" s="8" t="s">
        <v>24</v>
      </c>
      <c r="D32" s="8" t="s">
        <v>149</v>
      </c>
      <c r="E32" s="8" t="s">
        <v>117</v>
      </c>
      <c r="F32" s="8" t="n">
        <v>25</v>
      </c>
    </row>
    <row r="33" customFormat="false" ht="15" hidden="false" customHeight="true" outlineLevel="0" collapsed="false">
      <c r="A33" s="8" t="s">
        <v>98</v>
      </c>
      <c r="B33" s="8" t="s">
        <v>156</v>
      </c>
      <c r="C33" s="8" t="s">
        <v>24</v>
      </c>
      <c r="D33" s="8" t="s">
        <v>119</v>
      </c>
      <c r="E33" s="8" t="s">
        <v>117</v>
      </c>
      <c r="F33" s="8" t="n">
        <v>25</v>
      </c>
    </row>
    <row r="34" customFormat="false" ht="15" hidden="false" customHeight="true" outlineLevel="0" collapsed="false">
      <c r="A34" s="8" t="s">
        <v>121</v>
      </c>
      <c r="B34" s="8" t="s">
        <v>157</v>
      </c>
      <c r="C34" s="8" t="s">
        <v>47</v>
      </c>
      <c r="D34" s="8" t="s">
        <v>134</v>
      </c>
      <c r="E34" s="8" t="s">
        <v>152</v>
      </c>
      <c r="F34" s="8" t="n">
        <v>50</v>
      </c>
    </row>
    <row r="35" customFormat="false" ht="15" hidden="false" customHeight="true" outlineLevel="0" collapsed="false">
      <c r="A35" s="8" t="s">
        <v>146</v>
      </c>
      <c r="B35" s="8" t="s">
        <v>158</v>
      </c>
      <c r="C35" s="8" t="s">
        <v>10</v>
      </c>
      <c r="D35" s="8" t="s">
        <v>149</v>
      </c>
      <c r="E35" s="8" t="s">
        <v>117</v>
      </c>
      <c r="F35" s="8" t="n">
        <v>25</v>
      </c>
    </row>
    <row r="36" customFormat="false" ht="15" hidden="false" customHeight="true" outlineLevel="0" collapsed="false">
      <c r="A36" s="8" t="s">
        <v>146</v>
      </c>
      <c r="B36" s="8" t="s">
        <v>159</v>
      </c>
      <c r="C36" s="8" t="s">
        <v>70</v>
      </c>
      <c r="D36" s="8" t="s">
        <v>114</v>
      </c>
      <c r="E36" s="8" t="s">
        <v>115</v>
      </c>
      <c r="F36" s="8" t="n">
        <v>50</v>
      </c>
    </row>
    <row r="37" customFormat="false" ht="15" hidden="false" customHeight="true" outlineLevel="0" collapsed="false">
      <c r="A37" s="8" t="s">
        <v>146</v>
      </c>
      <c r="B37" s="8" t="s">
        <v>160</v>
      </c>
      <c r="C37" s="8" t="s">
        <v>10</v>
      </c>
      <c r="D37" s="8" t="s">
        <v>161</v>
      </c>
      <c r="E37" s="8" t="s">
        <v>117</v>
      </c>
      <c r="F37" s="8" t="n">
        <v>25</v>
      </c>
    </row>
    <row r="38" customFormat="false" ht="15" hidden="false" customHeight="true" outlineLevel="0" collapsed="false">
      <c r="A38" s="8" t="s">
        <v>162</v>
      </c>
      <c r="B38" s="8" t="s">
        <v>163</v>
      </c>
      <c r="C38" s="8" t="s">
        <v>56</v>
      </c>
      <c r="D38" s="8" t="s">
        <v>132</v>
      </c>
      <c r="E38" s="8" t="s">
        <v>104</v>
      </c>
      <c r="F38" s="8" t="n">
        <v>20</v>
      </c>
    </row>
    <row r="39" customFormat="false" ht="15" hidden="false" customHeight="true" outlineLevel="0" collapsed="false">
      <c r="A39" s="8" t="s">
        <v>164</v>
      </c>
      <c r="B39" s="8" t="s">
        <v>165</v>
      </c>
      <c r="C39" s="8" t="s">
        <v>10</v>
      </c>
      <c r="D39" s="8" t="s">
        <v>134</v>
      </c>
      <c r="E39" s="8" t="s">
        <v>152</v>
      </c>
      <c r="F39" s="8" t="n">
        <v>50</v>
      </c>
    </row>
    <row r="40" customFormat="false" ht="15" hidden="false" customHeight="true" outlineLevel="0" collapsed="false">
      <c r="A40" s="8" t="s">
        <v>166</v>
      </c>
      <c r="B40" s="8" t="s">
        <v>167</v>
      </c>
      <c r="C40" s="8" t="s">
        <v>58</v>
      </c>
      <c r="D40" s="8" t="s">
        <v>112</v>
      </c>
      <c r="E40" s="8" t="s">
        <v>104</v>
      </c>
      <c r="F40" s="8" t="n">
        <v>20</v>
      </c>
    </row>
    <row r="41" customFormat="false" ht="15" hidden="false" customHeight="true" outlineLevel="0" collapsed="false">
      <c r="A41" s="8" t="s">
        <v>166</v>
      </c>
      <c r="B41" s="8" t="s">
        <v>168</v>
      </c>
      <c r="C41" s="8" t="s">
        <v>10</v>
      </c>
      <c r="D41" s="8" t="s">
        <v>134</v>
      </c>
      <c r="E41" s="8" t="s">
        <v>135</v>
      </c>
      <c r="F41" s="8" t="n">
        <v>50</v>
      </c>
    </row>
    <row r="42" customFormat="false" ht="15" hidden="false" customHeight="true" outlineLevel="0" collapsed="false">
      <c r="A42" s="8" t="s">
        <v>169</v>
      </c>
      <c r="B42" s="8" t="s">
        <v>170</v>
      </c>
      <c r="C42" s="8" t="s">
        <v>58</v>
      </c>
      <c r="D42" s="8" t="s">
        <v>161</v>
      </c>
      <c r="E42" s="8" t="s">
        <v>117</v>
      </c>
      <c r="F42" s="8" t="n">
        <v>25</v>
      </c>
    </row>
    <row r="43" customFormat="false" ht="15" hidden="false" customHeight="true" outlineLevel="0" collapsed="false">
      <c r="A43" s="8" t="s">
        <v>169</v>
      </c>
      <c r="B43" s="8" t="s">
        <v>171</v>
      </c>
      <c r="C43" s="8" t="s">
        <v>58</v>
      </c>
      <c r="D43" s="8" t="s">
        <v>149</v>
      </c>
      <c r="E43" s="8" t="s">
        <v>117</v>
      </c>
      <c r="F43" s="8" t="n">
        <v>25</v>
      </c>
    </row>
    <row r="44" customFormat="false" ht="15" hidden="false" customHeight="true" outlineLevel="0" collapsed="false">
      <c r="A44" s="8" t="s">
        <v>172</v>
      </c>
      <c r="B44" s="8" t="s">
        <v>173</v>
      </c>
      <c r="C44" s="8" t="s">
        <v>56</v>
      </c>
      <c r="D44" s="8" t="s">
        <v>149</v>
      </c>
      <c r="E44" s="8" t="s">
        <v>104</v>
      </c>
      <c r="F44" s="8" t="n">
        <v>20</v>
      </c>
    </row>
    <row r="45" customFormat="false" ht="15" hidden="false" customHeight="true" outlineLevel="0" collapsed="false">
      <c r="A45" s="8" t="s">
        <v>172</v>
      </c>
      <c r="B45" s="8" t="s">
        <v>174</v>
      </c>
      <c r="C45" s="8" t="s">
        <v>58</v>
      </c>
      <c r="D45" s="8" t="s">
        <v>119</v>
      </c>
      <c r="E45" s="8" t="s">
        <v>117</v>
      </c>
      <c r="F45" s="8" t="n">
        <v>25</v>
      </c>
    </row>
    <row r="46" customFormat="false" ht="15" hidden="false" customHeight="true" outlineLevel="0" collapsed="false">
      <c r="A46" s="8" t="s">
        <v>172</v>
      </c>
      <c r="B46" s="8" t="s">
        <v>175</v>
      </c>
      <c r="C46" s="8" t="s">
        <v>10</v>
      </c>
      <c r="D46" s="8" t="s">
        <v>176</v>
      </c>
      <c r="E46" s="8" t="s">
        <v>177</v>
      </c>
      <c r="F46" s="8" t="n">
        <v>40</v>
      </c>
    </row>
    <row r="47" customFormat="false" ht="15" hidden="false" customHeight="true" outlineLevel="0" collapsed="false">
      <c r="A47" s="8" t="s">
        <v>172</v>
      </c>
      <c r="B47" s="8" t="s">
        <v>178</v>
      </c>
      <c r="C47" s="8" t="s">
        <v>35</v>
      </c>
      <c r="D47" s="8" t="s">
        <v>134</v>
      </c>
      <c r="E47" s="8" t="s">
        <v>179</v>
      </c>
      <c r="F47" s="8" t="n">
        <v>50</v>
      </c>
    </row>
    <row r="48" customFormat="false" ht="15" hidden="false" customHeight="true" outlineLevel="0" collapsed="false">
      <c r="A48" s="8" t="s">
        <v>172</v>
      </c>
      <c r="B48" s="8" t="s">
        <v>180</v>
      </c>
      <c r="C48" s="8" t="s">
        <v>55</v>
      </c>
      <c r="D48" s="8" t="s">
        <v>100</v>
      </c>
      <c r="E48" s="8" t="s">
        <v>117</v>
      </c>
      <c r="F48" s="8" t="n">
        <v>50</v>
      </c>
    </row>
    <row r="49" customFormat="false" ht="15" hidden="false" customHeight="true" outlineLevel="0" collapsed="false">
      <c r="A49" s="8" t="s">
        <v>181</v>
      </c>
      <c r="B49" s="8" t="s">
        <v>182</v>
      </c>
      <c r="C49" s="8" t="s">
        <v>66</v>
      </c>
      <c r="D49" s="8" t="s">
        <v>176</v>
      </c>
      <c r="E49" s="8" t="s">
        <v>183</v>
      </c>
      <c r="F49" s="8" t="n">
        <v>20</v>
      </c>
    </row>
    <row r="50" customFormat="false" ht="15" hidden="false" customHeight="true" outlineLevel="0" collapsed="false">
      <c r="A50" s="8" t="s">
        <v>181</v>
      </c>
      <c r="B50" s="8" t="s">
        <v>184</v>
      </c>
      <c r="C50" s="8" t="s">
        <v>65</v>
      </c>
      <c r="D50" s="8" t="s">
        <v>149</v>
      </c>
      <c r="E50" s="8" t="s">
        <v>117</v>
      </c>
      <c r="F50" s="8" t="n">
        <v>25</v>
      </c>
    </row>
    <row r="51" customFormat="false" ht="15" hidden="false" customHeight="true" outlineLevel="0" collapsed="false">
      <c r="A51" s="8" t="s">
        <v>181</v>
      </c>
      <c r="B51" s="8" t="s">
        <v>185</v>
      </c>
      <c r="C51" s="8" t="s">
        <v>65</v>
      </c>
      <c r="D51" s="8" t="s">
        <v>186</v>
      </c>
      <c r="E51" s="8" t="s">
        <v>117</v>
      </c>
      <c r="F51" s="8" t="n">
        <v>25</v>
      </c>
    </row>
    <row r="52" customFormat="false" ht="15" hidden="false" customHeight="true" outlineLevel="0" collapsed="false">
      <c r="A52" s="8" t="s">
        <v>187</v>
      </c>
      <c r="B52" s="8" t="s">
        <v>188</v>
      </c>
      <c r="C52" s="8" t="s">
        <v>65</v>
      </c>
      <c r="D52" s="8" t="s">
        <v>119</v>
      </c>
      <c r="E52" s="8" t="s">
        <v>117</v>
      </c>
      <c r="F52" s="8" t="n">
        <v>25</v>
      </c>
    </row>
    <row r="53" customFormat="false" ht="15" hidden="false" customHeight="true" outlineLevel="0" collapsed="false">
      <c r="A53" s="8" t="s">
        <v>187</v>
      </c>
      <c r="B53" s="8" t="s">
        <v>189</v>
      </c>
      <c r="C53" s="8" t="s">
        <v>10</v>
      </c>
      <c r="D53" s="8" t="s">
        <v>134</v>
      </c>
      <c r="E53" s="8" t="s">
        <v>135</v>
      </c>
      <c r="F53" s="8" t="n">
        <v>50</v>
      </c>
    </row>
    <row r="54" customFormat="false" ht="15" hidden="false" customHeight="true" outlineLevel="0" collapsed="false">
      <c r="A54" s="8" t="s">
        <v>187</v>
      </c>
      <c r="B54" s="8" t="s">
        <v>190</v>
      </c>
      <c r="C54" s="8" t="s">
        <v>10</v>
      </c>
      <c r="D54" s="8" t="s">
        <v>176</v>
      </c>
      <c r="E54" s="8" t="s">
        <v>177</v>
      </c>
      <c r="F54" s="8" t="n">
        <v>40</v>
      </c>
    </row>
    <row r="55" customFormat="false" ht="15" hidden="false" customHeight="true" outlineLevel="0" collapsed="false">
      <c r="A55" s="8" t="s">
        <v>162</v>
      </c>
      <c r="B55" s="8" t="s">
        <v>191</v>
      </c>
      <c r="C55" s="8" t="s">
        <v>66</v>
      </c>
      <c r="D55" s="8" t="s">
        <v>192</v>
      </c>
      <c r="E55" s="8" t="s">
        <v>183</v>
      </c>
      <c r="F55" s="8" t="n">
        <v>15</v>
      </c>
    </row>
    <row r="56" customFormat="false" ht="15" hidden="false" customHeight="true" outlineLevel="0" collapsed="false">
      <c r="A56" s="8" t="s">
        <v>162</v>
      </c>
      <c r="B56" s="8" t="s">
        <v>193</v>
      </c>
      <c r="C56" s="8" t="s">
        <v>66</v>
      </c>
      <c r="D56" s="8" t="s">
        <v>176</v>
      </c>
      <c r="E56" s="8" t="s">
        <v>194</v>
      </c>
      <c r="F56" s="8" t="n">
        <v>30</v>
      </c>
    </row>
    <row r="57" customFormat="false" ht="15" hidden="false" customHeight="true" outlineLevel="0" collapsed="false">
      <c r="A57" s="8" t="s">
        <v>162</v>
      </c>
      <c r="B57" s="8" t="s">
        <v>195</v>
      </c>
      <c r="C57" s="8" t="s">
        <v>56</v>
      </c>
      <c r="D57" s="8" t="s">
        <v>106</v>
      </c>
      <c r="E57" s="8" t="s">
        <v>145</v>
      </c>
      <c r="F57" s="8" t="n">
        <v>50</v>
      </c>
    </row>
    <row r="58" customFormat="false" ht="15" hidden="false" customHeight="true" outlineLevel="0" collapsed="false">
      <c r="A58" s="8" t="s">
        <v>162</v>
      </c>
      <c r="B58" s="8" t="s">
        <v>196</v>
      </c>
      <c r="C58" s="8" t="s">
        <v>56</v>
      </c>
      <c r="D58" s="8" t="s">
        <v>176</v>
      </c>
      <c r="E58" s="8" t="s">
        <v>197</v>
      </c>
      <c r="F58" s="8" t="n">
        <v>0</v>
      </c>
    </row>
    <row r="59" customFormat="false" ht="15" hidden="false" customHeight="true" outlineLevel="0" collapsed="false">
      <c r="A59" s="8" t="s">
        <v>162</v>
      </c>
      <c r="B59" s="8" t="s">
        <v>198</v>
      </c>
      <c r="C59" s="8" t="s">
        <v>35</v>
      </c>
      <c r="D59" s="8" t="s">
        <v>112</v>
      </c>
      <c r="E59" s="8" t="s">
        <v>104</v>
      </c>
      <c r="F59" s="8" t="n">
        <v>20</v>
      </c>
    </row>
    <row r="60" customFormat="false" ht="15" hidden="false" customHeight="true" outlineLevel="0" collapsed="false">
      <c r="A60" s="8" t="s">
        <v>162</v>
      </c>
      <c r="B60" s="8" t="s">
        <v>199</v>
      </c>
      <c r="C60" s="8" t="s">
        <v>35</v>
      </c>
      <c r="D60" s="8" t="s">
        <v>109</v>
      </c>
      <c r="E60" s="8" t="s">
        <v>104</v>
      </c>
      <c r="F60" s="8" t="n">
        <v>20</v>
      </c>
    </row>
    <row r="61" customFormat="false" ht="15" hidden="false" customHeight="true" outlineLevel="0" collapsed="false">
      <c r="A61" s="8" t="s">
        <v>162</v>
      </c>
      <c r="B61" s="8" t="s">
        <v>200</v>
      </c>
      <c r="C61" s="8" t="s">
        <v>53</v>
      </c>
      <c r="D61" s="8" t="s">
        <v>130</v>
      </c>
      <c r="E61" s="8" t="s">
        <v>110</v>
      </c>
      <c r="F61" s="8" t="n">
        <v>0</v>
      </c>
    </row>
    <row r="62" customFormat="false" ht="15" hidden="false" customHeight="true" outlineLevel="0" collapsed="false">
      <c r="A62" s="8" t="s">
        <v>201</v>
      </c>
      <c r="B62" s="8" t="s">
        <v>202</v>
      </c>
      <c r="C62" s="8" t="s">
        <v>69</v>
      </c>
      <c r="D62" s="8" t="s">
        <v>161</v>
      </c>
      <c r="E62" s="8" t="s">
        <v>101</v>
      </c>
      <c r="F62" s="8" t="n">
        <v>0</v>
      </c>
    </row>
    <row r="63" customFormat="false" ht="15" hidden="false" customHeight="true" outlineLevel="0" collapsed="false">
      <c r="A63" s="8" t="s">
        <v>201</v>
      </c>
      <c r="B63" s="8" t="s">
        <v>203</v>
      </c>
      <c r="C63" s="8" t="s">
        <v>69</v>
      </c>
      <c r="D63" s="8" t="s">
        <v>186</v>
      </c>
      <c r="E63" s="8" t="s">
        <v>204</v>
      </c>
      <c r="F63" s="8" t="n">
        <v>0</v>
      </c>
    </row>
    <row r="64" customFormat="false" ht="15" hidden="false" customHeight="true" outlineLevel="0" collapsed="false">
      <c r="A64" s="8" t="s">
        <v>201</v>
      </c>
      <c r="B64" s="8" t="s">
        <v>205</v>
      </c>
      <c r="C64" s="8" t="s">
        <v>35</v>
      </c>
      <c r="D64" s="8" t="s">
        <v>100</v>
      </c>
      <c r="E64" s="8" t="s">
        <v>104</v>
      </c>
      <c r="F64" s="8" t="n">
        <v>40</v>
      </c>
    </row>
    <row r="65" customFormat="false" ht="15" hidden="false" customHeight="true" outlineLevel="0" collapsed="false">
      <c r="A65" s="8" t="s">
        <v>201</v>
      </c>
      <c r="B65" s="8" t="s">
        <v>206</v>
      </c>
      <c r="C65" s="8" t="s">
        <v>69</v>
      </c>
      <c r="D65" s="8" t="s">
        <v>207</v>
      </c>
      <c r="E65" s="8" t="s">
        <v>208</v>
      </c>
      <c r="F65" s="8" t="n">
        <v>50</v>
      </c>
    </row>
    <row r="66" customFormat="false" ht="15" hidden="false" customHeight="true" outlineLevel="0" collapsed="false">
      <c r="A66" s="8" t="s">
        <v>201</v>
      </c>
      <c r="B66" s="8" t="s">
        <v>209</v>
      </c>
      <c r="C66" s="8" t="s">
        <v>35</v>
      </c>
      <c r="D66" s="8" t="s">
        <v>210</v>
      </c>
      <c r="E66" s="8" t="s">
        <v>211</v>
      </c>
      <c r="F66" s="8" t="n">
        <v>50</v>
      </c>
    </row>
    <row r="67" customFormat="false" ht="15" hidden="false" customHeight="true" outlineLevel="0" collapsed="false">
      <c r="A67" s="8" t="s">
        <v>201</v>
      </c>
      <c r="B67" s="8" t="s">
        <v>212</v>
      </c>
      <c r="C67" s="8" t="s">
        <v>66</v>
      </c>
      <c r="D67" s="8" t="s">
        <v>176</v>
      </c>
      <c r="E67" s="8" t="s">
        <v>183</v>
      </c>
      <c r="F67" s="8" t="n">
        <v>20</v>
      </c>
    </row>
    <row r="68" customFormat="false" ht="15" hidden="false" customHeight="true" outlineLevel="0" collapsed="false">
      <c r="A68" s="8" t="s">
        <v>201</v>
      </c>
      <c r="B68" s="8" t="s">
        <v>213</v>
      </c>
      <c r="C68" s="8" t="s">
        <v>45</v>
      </c>
      <c r="D68" s="8" t="s">
        <v>132</v>
      </c>
      <c r="E68" s="8" t="s">
        <v>117</v>
      </c>
      <c r="F68" s="8" t="n">
        <v>25</v>
      </c>
    </row>
    <row r="69" customFormat="false" ht="15" hidden="false" customHeight="true" outlineLevel="0" collapsed="false">
      <c r="A69" s="8" t="s">
        <v>201</v>
      </c>
      <c r="B69" s="8" t="s">
        <v>214</v>
      </c>
      <c r="C69" s="8" t="s">
        <v>35</v>
      </c>
      <c r="D69" s="8" t="s">
        <v>210</v>
      </c>
      <c r="E69" s="8" t="s">
        <v>211</v>
      </c>
      <c r="F69" s="8" t="n">
        <v>50</v>
      </c>
    </row>
    <row r="70" customFormat="false" ht="15" hidden="false" customHeight="true" outlineLevel="0" collapsed="false">
      <c r="A70" s="8" t="s">
        <v>201</v>
      </c>
      <c r="B70" s="8" t="s">
        <v>215</v>
      </c>
      <c r="C70" s="8" t="s">
        <v>10</v>
      </c>
      <c r="D70" s="8" t="s">
        <v>134</v>
      </c>
      <c r="E70" s="8" t="s">
        <v>135</v>
      </c>
      <c r="F70" s="8" t="n">
        <v>50</v>
      </c>
    </row>
    <row r="71" customFormat="false" ht="15" hidden="false" customHeight="true" outlineLevel="0" collapsed="false">
      <c r="A71" s="8" t="s">
        <v>201</v>
      </c>
      <c r="B71" s="8" t="s">
        <v>216</v>
      </c>
      <c r="C71" s="8" t="s">
        <v>35</v>
      </c>
      <c r="D71" s="8" t="s">
        <v>210</v>
      </c>
      <c r="E71" s="8" t="s">
        <v>211</v>
      </c>
      <c r="F71" s="8" t="n">
        <v>50</v>
      </c>
    </row>
    <row r="72" customFormat="false" ht="15" hidden="false" customHeight="true" outlineLevel="0" collapsed="false">
      <c r="A72" s="8" t="s">
        <v>201</v>
      </c>
      <c r="B72" s="8" t="s">
        <v>217</v>
      </c>
      <c r="C72" s="8" t="s">
        <v>10</v>
      </c>
      <c r="D72" s="8" t="s">
        <v>176</v>
      </c>
      <c r="E72" s="8" t="s">
        <v>177</v>
      </c>
      <c r="F72" s="8" t="n">
        <v>40</v>
      </c>
    </row>
    <row r="73" customFormat="false" ht="15" hidden="false" customHeight="true" outlineLevel="0" collapsed="false">
      <c r="A73" s="8" t="s">
        <v>218</v>
      </c>
      <c r="B73" s="8" t="s">
        <v>219</v>
      </c>
      <c r="C73" s="8" t="s">
        <v>10</v>
      </c>
      <c r="D73" s="8" t="s">
        <v>176</v>
      </c>
      <c r="E73" s="8" t="s">
        <v>177</v>
      </c>
      <c r="F73" s="8" t="n">
        <v>40</v>
      </c>
    </row>
    <row r="74" customFormat="false" ht="15" hidden="false" customHeight="true" outlineLevel="0" collapsed="false">
      <c r="A74" s="8" t="s">
        <v>218</v>
      </c>
      <c r="B74" s="8" t="s">
        <v>220</v>
      </c>
      <c r="C74" s="8" t="s">
        <v>10</v>
      </c>
      <c r="D74" s="8" t="s">
        <v>176</v>
      </c>
      <c r="E74" s="8" t="s">
        <v>177</v>
      </c>
      <c r="F74" s="8" t="n">
        <v>40</v>
      </c>
    </row>
    <row r="75" customFormat="false" ht="15" hidden="false" customHeight="true" outlineLevel="0" collapsed="false">
      <c r="A75" s="8" t="s">
        <v>218</v>
      </c>
      <c r="B75" s="8" t="s">
        <v>221</v>
      </c>
      <c r="C75" s="8" t="s">
        <v>66</v>
      </c>
      <c r="D75" s="8" t="s">
        <v>176</v>
      </c>
      <c r="E75" s="8" t="s">
        <v>183</v>
      </c>
      <c r="F75" s="8" t="n">
        <v>20</v>
      </c>
    </row>
    <row r="76" customFormat="false" ht="15" hidden="false" customHeight="true" outlineLevel="0" collapsed="false">
      <c r="A76" s="8" t="s">
        <v>218</v>
      </c>
      <c r="B76" s="8" t="s">
        <v>222</v>
      </c>
      <c r="C76" s="8" t="s">
        <v>56</v>
      </c>
      <c r="D76" s="8" t="s">
        <v>176</v>
      </c>
      <c r="E76" s="8" t="s">
        <v>197</v>
      </c>
      <c r="F76" s="8" t="n">
        <v>20</v>
      </c>
    </row>
    <row r="77" customFormat="false" ht="15" hidden="false" customHeight="true" outlineLevel="0" collapsed="false">
      <c r="A77" s="8" t="s">
        <v>218</v>
      </c>
      <c r="B77" s="8" t="s">
        <v>223</v>
      </c>
      <c r="C77" s="8" t="s">
        <v>45</v>
      </c>
      <c r="D77" s="8" t="s">
        <v>161</v>
      </c>
      <c r="E77" s="8" t="s">
        <v>117</v>
      </c>
      <c r="F77" s="8" t="n">
        <v>25</v>
      </c>
    </row>
    <row r="78" customFormat="false" ht="15" hidden="false" customHeight="true" outlineLevel="0" collapsed="false">
      <c r="A78" s="8" t="s">
        <v>218</v>
      </c>
      <c r="B78" s="8" t="s">
        <v>224</v>
      </c>
      <c r="C78" s="8" t="s">
        <v>41</v>
      </c>
      <c r="D78" s="8" t="s">
        <v>119</v>
      </c>
      <c r="E78" s="8" t="s">
        <v>117</v>
      </c>
      <c r="F78" s="8" t="n">
        <v>25</v>
      </c>
    </row>
    <row r="79" customFormat="false" ht="15" hidden="false" customHeight="true" outlineLevel="0" collapsed="false">
      <c r="A79" s="8" t="s">
        <v>218</v>
      </c>
      <c r="B79" s="8" t="s">
        <v>225</v>
      </c>
      <c r="C79" s="8" t="s">
        <v>10</v>
      </c>
      <c r="D79" s="8" t="s">
        <v>176</v>
      </c>
      <c r="E79" s="8" t="s">
        <v>177</v>
      </c>
      <c r="F79" s="8" t="n">
        <v>40</v>
      </c>
    </row>
    <row r="80" customFormat="false" ht="15" hidden="false" customHeight="true" outlineLevel="0" collapsed="false">
      <c r="A80" s="8" t="s">
        <v>218</v>
      </c>
      <c r="B80" s="8" t="s">
        <v>226</v>
      </c>
      <c r="C80" s="8" t="s">
        <v>10</v>
      </c>
      <c r="D80" s="8" t="s">
        <v>176</v>
      </c>
      <c r="E80" s="8" t="s">
        <v>177</v>
      </c>
      <c r="F80" s="8" t="n">
        <v>40</v>
      </c>
    </row>
    <row r="81" customFormat="false" ht="15" hidden="false" customHeight="true" outlineLevel="0" collapsed="false">
      <c r="A81" s="8" t="s">
        <v>218</v>
      </c>
      <c r="B81" s="8" t="s">
        <v>227</v>
      </c>
      <c r="C81" s="8" t="s">
        <v>41</v>
      </c>
      <c r="D81" s="8" t="s">
        <v>100</v>
      </c>
      <c r="E81" s="8" t="s">
        <v>117</v>
      </c>
      <c r="F81" s="8" t="n">
        <v>50</v>
      </c>
    </row>
    <row r="82" customFormat="false" ht="15" hidden="false" customHeight="true" outlineLevel="0" collapsed="false">
      <c r="A82" s="8" t="s">
        <v>218</v>
      </c>
      <c r="B82" s="8" t="s">
        <v>228</v>
      </c>
      <c r="C82" s="8" t="s">
        <v>41</v>
      </c>
      <c r="D82" s="8" t="s">
        <v>149</v>
      </c>
      <c r="E82" s="8" t="s">
        <v>117</v>
      </c>
      <c r="F82" s="8" t="n">
        <v>25</v>
      </c>
    </row>
    <row r="83" customFormat="false" ht="15" hidden="false" customHeight="true" outlineLevel="0" collapsed="false">
      <c r="A83" s="8" t="s">
        <v>218</v>
      </c>
      <c r="B83" s="8" t="s">
        <v>229</v>
      </c>
      <c r="C83" s="8" t="s">
        <v>56</v>
      </c>
      <c r="D83" s="8" t="s">
        <v>176</v>
      </c>
      <c r="E83" s="8" t="s">
        <v>183</v>
      </c>
      <c r="F83" s="8" t="n">
        <v>20</v>
      </c>
    </row>
    <row r="84" customFormat="false" ht="15" hidden="false" customHeight="true" outlineLevel="0" collapsed="false">
      <c r="A84" s="8" t="s">
        <v>230</v>
      </c>
      <c r="B84" s="8" t="s">
        <v>231</v>
      </c>
      <c r="C84" s="8" t="s">
        <v>41</v>
      </c>
      <c r="D84" s="8" t="s">
        <v>112</v>
      </c>
      <c r="E84" s="8" t="s">
        <v>117</v>
      </c>
      <c r="F84" s="8" t="n">
        <v>25</v>
      </c>
    </row>
    <row r="85" customFormat="false" ht="15" hidden="false" customHeight="true" outlineLevel="0" collapsed="false">
      <c r="A85" s="8" t="s">
        <v>230</v>
      </c>
      <c r="B85" s="8" t="s">
        <v>232</v>
      </c>
      <c r="C85" s="8" t="s">
        <v>10</v>
      </c>
      <c r="D85" s="8" t="s">
        <v>176</v>
      </c>
      <c r="E85" s="8" t="s">
        <v>177</v>
      </c>
      <c r="F85" s="8" t="n">
        <v>40</v>
      </c>
    </row>
    <row r="86" customFormat="false" ht="15" hidden="false" customHeight="true" outlineLevel="0" collapsed="false">
      <c r="A86" s="8" t="s">
        <v>230</v>
      </c>
      <c r="B86" s="8" t="s">
        <v>233</v>
      </c>
      <c r="C86" s="8" t="s">
        <v>10</v>
      </c>
      <c r="D86" s="8" t="s">
        <v>134</v>
      </c>
      <c r="E86" s="8" t="s">
        <v>152</v>
      </c>
      <c r="F86" s="8" t="n">
        <v>50</v>
      </c>
    </row>
    <row r="87" customFormat="false" ht="15" hidden="false" customHeight="true" outlineLevel="0" collapsed="false">
      <c r="A87" s="8" t="s">
        <v>230</v>
      </c>
      <c r="B87" s="8" t="s">
        <v>234</v>
      </c>
      <c r="C87" s="8" t="s">
        <v>56</v>
      </c>
      <c r="D87" s="8" t="s">
        <v>176</v>
      </c>
      <c r="E87" s="8" t="s">
        <v>183</v>
      </c>
      <c r="F87" s="8" t="n">
        <v>20</v>
      </c>
    </row>
    <row r="88" customFormat="false" ht="15" hidden="false" customHeight="true" outlineLevel="0" collapsed="false">
      <c r="A88" s="8" t="s">
        <v>230</v>
      </c>
      <c r="B88" s="8" t="s">
        <v>235</v>
      </c>
      <c r="C88" s="8" t="s">
        <v>35</v>
      </c>
      <c r="D88" s="8" t="s">
        <v>106</v>
      </c>
      <c r="E88" s="8" t="s">
        <v>145</v>
      </c>
      <c r="F88" s="8" t="n">
        <v>50</v>
      </c>
    </row>
    <row r="89" customFormat="false" ht="15" hidden="false" customHeight="true" outlineLevel="0" collapsed="false">
      <c r="A89" s="8" t="s">
        <v>230</v>
      </c>
      <c r="B89" s="8" t="s">
        <v>236</v>
      </c>
      <c r="C89" s="8" t="s">
        <v>35</v>
      </c>
      <c r="D89" s="8" t="s">
        <v>106</v>
      </c>
      <c r="E89" s="8" t="s">
        <v>145</v>
      </c>
      <c r="F89" s="8" t="n">
        <v>50</v>
      </c>
    </row>
    <row r="90" customFormat="false" ht="15" hidden="false" customHeight="true" outlineLevel="0" collapsed="false">
      <c r="A90" s="8" t="s">
        <v>230</v>
      </c>
      <c r="B90" s="8" t="s">
        <v>237</v>
      </c>
      <c r="C90" s="8" t="s">
        <v>35</v>
      </c>
      <c r="D90" s="8" t="s">
        <v>106</v>
      </c>
      <c r="E90" s="8" t="s">
        <v>145</v>
      </c>
      <c r="F90" s="8" t="n">
        <v>50</v>
      </c>
    </row>
    <row r="91" customFormat="false" ht="15" hidden="false" customHeight="true" outlineLevel="0" collapsed="false">
      <c r="A91" s="8" t="s">
        <v>230</v>
      </c>
      <c r="B91" s="8" t="s">
        <v>238</v>
      </c>
      <c r="C91" s="8" t="s">
        <v>56</v>
      </c>
      <c r="D91" s="8" t="s">
        <v>176</v>
      </c>
      <c r="E91" s="8" t="s">
        <v>183</v>
      </c>
      <c r="F91" s="8" t="n">
        <v>20</v>
      </c>
    </row>
    <row r="92" customFormat="false" ht="15" hidden="false" customHeight="true" outlineLevel="0" collapsed="false">
      <c r="A92" s="8" t="s">
        <v>230</v>
      </c>
      <c r="B92" s="8" t="s">
        <v>239</v>
      </c>
      <c r="C92" s="8" t="s">
        <v>17</v>
      </c>
      <c r="D92" s="8" t="s">
        <v>106</v>
      </c>
      <c r="E92" s="8" t="s">
        <v>145</v>
      </c>
      <c r="F92" s="8" t="n">
        <v>50</v>
      </c>
    </row>
    <row r="93" customFormat="false" ht="15" hidden="false" customHeight="true" outlineLevel="0" collapsed="false">
      <c r="A93" s="8" t="s">
        <v>230</v>
      </c>
      <c r="B93" s="8" t="s">
        <v>240</v>
      </c>
      <c r="C93" s="8" t="s">
        <v>17</v>
      </c>
      <c r="D93" s="8" t="s">
        <v>106</v>
      </c>
      <c r="E93" s="8" t="s">
        <v>145</v>
      </c>
      <c r="F93" s="8" t="n">
        <v>50</v>
      </c>
    </row>
    <row r="94" customFormat="false" ht="15" hidden="false" customHeight="true" outlineLevel="0" collapsed="false">
      <c r="A94" s="8" t="s">
        <v>230</v>
      </c>
      <c r="B94" s="8" t="s">
        <v>241</v>
      </c>
      <c r="C94" s="8" t="s">
        <v>35</v>
      </c>
      <c r="D94" s="8" t="s">
        <v>134</v>
      </c>
      <c r="E94" s="8" t="s">
        <v>179</v>
      </c>
      <c r="F94" s="8" t="n">
        <v>50</v>
      </c>
    </row>
    <row r="95" customFormat="false" ht="15" hidden="false" customHeight="true" outlineLevel="0" collapsed="false">
      <c r="A95" s="8" t="s">
        <v>230</v>
      </c>
      <c r="B95" s="8" t="s">
        <v>242</v>
      </c>
      <c r="C95" s="8" t="s">
        <v>17</v>
      </c>
      <c r="D95" s="8" t="s">
        <v>132</v>
      </c>
      <c r="E95" s="8" t="s">
        <v>117</v>
      </c>
      <c r="F95" s="8" t="n">
        <v>25</v>
      </c>
    </row>
    <row r="96" customFormat="false" ht="15" hidden="false" customHeight="true" outlineLevel="0" collapsed="false">
      <c r="A96" s="8" t="s">
        <v>230</v>
      </c>
      <c r="B96" s="8" t="s">
        <v>243</v>
      </c>
      <c r="C96" s="8" t="s">
        <v>17</v>
      </c>
      <c r="D96" s="8" t="s">
        <v>112</v>
      </c>
      <c r="E96" s="8" t="s">
        <v>117</v>
      </c>
      <c r="F96" s="8" t="n">
        <v>25</v>
      </c>
    </row>
    <row r="97" customFormat="false" ht="15" hidden="false" customHeight="true" outlineLevel="0" collapsed="false">
      <c r="A97" s="8" t="s">
        <v>244</v>
      </c>
      <c r="B97" s="8" t="s">
        <v>245</v>
      </c>
      <c r="C97" s="8" t="s">
        <v>66</v>
      </c>
      <c r="D97" s="8" t="s">
        <v>100</v>
      </c>
      <c r="E97" s="8" t="s">
        <v>117</v>
      </c>
      <c r="F97" s="8" t="n">
        <v>50</v>
      </c>
    </row>
    <row r="98" customFormat="false" ht="15" hidden="false" customHeight="true" outlineLevel="0" collapsed="false">
      <c r="A98" s="8" t="s">
        <v>244</v>
      </c>
      <c r="B98" s="8" t="s">
        <v>246</v>
      </c>
      <c r="C98" s="8" t="s">
        <v>66</v>
      </c>
      <c r="D98" s="8" t="s">
        <v>100</v>
      </c>
      <c r="E98" s="8" t="s">
        <v>117</v>
      </c>
      <c r="F98" s="8" t="n">
        <v>50</v>
      </c>
    </row>
    <row r="99" customFormat="false" ht="15" hidden="false" customHeight="true" outlineLevel="0" collapsed="false">
      <c r="A99" s="8" t="s">
        <v>244</v>
      </c>
      <c r="B99" s="8" t="s">
        <v>247</v>
      </c>
      <c r="C99" s="8" t="s">
        <v>66</v>
      </c>
      <c r="D99" s="8" t="s">
        <v>100</v>
      </c>
      <c r="E99" s="8" t="s">
        <v>117</v>
      </c>
      <c r="F99" s="8" t="n">
        <v>50</v>
      </c>
    </row>
    <row r="100" customFormat="false" ht="15" hidden="false" customHeight="true" outlineLevel="0" collapsed="false">
      <c r="A100" s="8" t="s">
        <v>244</v>
      </c>
      <c r="B100" s="8" t="s">
        <v>248</v>
      </c>
      <c r="C100" s="8" t="s">
        <v>66</v>
      </c>
      <c r="D100" s="8" t="s">
        <v>100</v>
      </c>
      <c r="E100" s="8" t="s">
        <v>117</v>
      </c>
      <c r="F100" s="8" t="n">
        <v>50</v>
      </c>
    </row>
    <row r="101" customFormat="false" ht="15" hidden="false" customHeight="true" outlineLevel="0" collapsed="false">
      <c r="A101" s="8" t="s">
        <v>244</v>
      </c>
      <c r="B101" s="8" t="s">
        <v>249</v>
      </c>
      <c r="C101" s="8" t="s">
        <v>66</v>
      </c>
      <c r="D101" s="8" t="s">
        <v>250</v>
      </c>
      <c r="E101" s="8" t="s">
        <v>208</v>
      </c>
      <c r="F101" s="8" t="n">
        <v>50</v>
      </c>
    </row>
    <row r="102" customFormat="false" ht="15" hidden="false" customHeight="true" outlineLevel="0" collapsed="false">
      <c r="A102" s="8" t="s">
        <v>244</v>
      </c>
      <c r="B102" s="8" t="s">
        <v>251</v>
      </c>
      <c r="C102" s="8" t="s">
        <v>45</v>
      </c>
      <c r="D102" s="8" t="s">
        <v>149</v>
      </c>
      <c r="E102" s="8" t="s">
        <v>117</v>
      </c>
      <c r="F102" s="8" t="n">
        <v>25</v>
      </c>
    </row>
    <row r="103" customFormat="false" ht="15" hidden="false" customHeight="true" outlineLevel="0" collapsed="false">
      <c r="A103" s="8" t="s">
        <v>244</v>
      </c>
      <c r="B103" s="8" t="s">
        <v>252</v>
      </c>
      <c r="C103" s="8" t="s">
        <v>17</v>
      </c>
      <c r="D103" s="8" t="s">
        <v>112</v>
      </c>
      <c r="E103" s="8" t="s">
        <v>117</v>
      </c>
      <c r="F103" s="8" t="n">
        <v>25</v>
      </c>
    </row>
    <row r="104" customFormat="false" ht="15" hidden="false" customHeight="true" outlineLevel="0" collapsed="false">
      <c r="A104" s="8" t="s">
        <v>244</v>
      </c>
      <c r="B104" s="8" t="s">
        <v>253</v>
      </c>
      <c r="C104" s="8" t="s">
        <v>17</v>
      </c>
      <c r="D104" s="8" t="s">
        <v>109</v>
      </c>
      <c r="E104" s="8" t="s">
        <v>117</v>
      </c>
      <c r="F104" s="8" t="n">
        <v>25</v>
      </c>
    </row>
    <row r="105" customFormat="false" ht="15" hidden="false" customHeight="true" outlineLevel="0" collapsed="false">
      <c r="A105" s="8" t="s">
        <v>244</v>
      </c>
      <c r="B105" s="8" t="s">
        <v>254</v>
      </c>
      <c r="C105" s="8" t="s">
        <v>17</v>
      </c>
      <c r="D105" s="8" t="s">
        <v>112</v>
      </c>
      <c r="E105" s="8" t="s">
        <v>117</v>
      </c>
      <c r="F105" s="8" t="n">
        <v>25</v>
      </c>
    </row>
    <row r="106" customFormat="false" ht="15" hidden="false" customHeight="true" outlineLevel="0" collapsed="false">
      <c r="A106" s="8" t="s">
        <v>244</v>
      </c>
      <c r="B106" s="8" t="s">
        <v>255</v>
      </c>
      <c r="C106" s="8" t="s">
        <v>17</v>
      </c>
      <c r="D106" s="8" t="s">
        <v>125</v>
      </c>
      <c r="E106" s="8" t="s">
        <v>117</v>
      </c>
      <c r="F106" s="8" t="n">
        <v>25</v>
      </c>
    </row>
    <row r="107" customFormat="false" ht="15" hidden="false" customHeight="true" outlineLevel="0" collapsed="false">
      <c r="A107" s="8" t="s">
        <v>244</v>
      </c>
      <c r="B107" s="8" t="s">
        <v>256</v>
      </c>
      <c r="C107" s="8" t="s">
        <v>17</v>
      </c>
      <c r="D107" s="8" t="s">
        <v>123</v>
      </c>
      <c r="E107" s="8" t="s">
        <v>117</v>
      </c>
      <c r="F107" s="8" t="n">
        <v>25</v>
      </c>
    </row>
    <row r="108" customFormat="false" ht="15" hidden="false" customHeight="true" outlineLevel="0" collapsed="false">
      <c r="A108" s="8" t="s">
        <v>244</v>
      </c>
      <c r="B108" s="8" t="s">
        <v>257</v>
      </c>
      <c r="C108" s="8" t="s">
        <v>17</v>
      </c>
      <c r="D108" s="8" t="s">
        <v>119</v>
      </c>
      <c r="E108" s="8" t="s">
        <v>117</v>
      </c>
      <c r="F108" s="8" t="n">
        <v>25</v>
      </c>
    </row>
    <row r="109" customFormat="false" ht="15" hidden="false" customHeight="true" outlineLevel="0" collapsed="false">
      <c r="A109" s="8" t="s">
        <v>258</v>
      </c>
      <c r="B109" s="8" t="s">
        <v>259</v>
      </c>
      <c r="C109" s="8" t="s">
        <v>56</v>
      </c>
      <c r="D109" s="8" t="s">
        <v>176</v>
      </c>
      <c r="E109" s="8" t="s">
        <v>183</v>
      </c>
      <c r="F109" s="8" t="n">
        <v>20</v>
      </c>
    </row>
    <row r="110" customFormat="false" ht="15" hidden="false" customHeight="true" outlineLevel="0" collapsed="false">
      <c r="A110" s="8" t="s">
        <v>258</v>
      </c>
      <c r="B110" s="8" t="s">
        <v>260</v>
      </c>
      <c r="C110" s="8" t="s">
        <v>17</v>
      </c>
      <c r="D110" s="8" t="s">
        <v>112</v>
      </c>
      <c r="E110" s="8" t="s">
        <v>117</v>
      </c>
      <c r="F110" s="8" t="n">
        <v>25</v>
      </c>
    </row>
    <row r="111" customFormat="false" ht="15" hidden="false" customHeight="true" outlineLevel="0" collapsed="false">
      <c r="A111" s="8" t="s">
        <v>258</v>
      </c>
      <c r="B111" s="8" t="s">
        <v>261</v>
      </c>
      <c r="C111" s="8" t="s">
        <v>17</v>
      </c>
      <c r="D111" s="8" t="s">
        <v>112</v>
      </c>
      <c r="E111" s="8" t="s">
        <v>117</v>
      </c>
      <c r="F111" s="8" t="n">
        <v>25</v>
      </c>
    </row>
    <row r="112" customFormat="false" ht="15" hidden="false" customHeight="true" outlineLevel="0" collapsed="false">
      <c r="A112" s="8" t="s">
        <v>258</v>
      </c>
      <c r="B112" s="8" t="s">
        <v>262</v>
      </c>
      <c r="C112" s="8" t="s">
        <v>10</v>
      </c>
      <c r="D112" s="8" t="s">
        <v>134</v>
      </c>
      <c r="E112" s="8" t="s">
        <v>263</v>
      </c>
      <c r="F112" s="8" t="n">
        <v>50</v>
      </c>
    </row>
    <row r="113" customFormat="false" ht="15" hidden="false" customHeight="true" outlineLevel="0" collapsed="false">
      <c r="A113" s="8" t="s">
        <v>258</v>
      </c>
      <c r="B113" s="8" t="s">
        <v>264</v>
      </c>
      <c r="C113" s="8" t="s">
        <v>56</v>
      </c>
      <c r="D113" s="8" t="s">
        <v>176</v>
      </c>
      <c r="E113" s="8" t="s">
        <v>183</v>
      </c>
      <c r="F113" s="8" t="n">
        <v>20</v>
      </c>
    </row>
    <row r="114" customFormat="false" ht="15" hidden="false" customHeight="true" outlineLevel="0" collapsed="false">
      <c r="A114" s="8" t="s">
        <v>258</v>
      </c>
      <c r="B114" s="8" t="s">
        <v>265</v>
      </c>
      <c r="C114" s="8" t="s">
        <v>45</v>
      </c>
      <c r="D114" s="8" t="s">
        <v>123</v>
      </c>
      <c r="E114" s="8" t="s">
        <v>117</v>
      </c>
      <c r="F114" s="8" t="n">
        <v>25</v>
      </c>
    </row>
    <row r="115" customFormat="false" ht="15" hidden="false" customHeight="true" outlineLevel="0" collapsed="false">
      <c r="A115" s="8" t="s">
        <v>258</v>
      </c>
      <c r="B115" s="8" t="s">
        <v>266</v>
      </c>
      <c r="C115" s="8" t="s">
        <v>16</v>
      </c>
      <c r="D115" s="8" t="s">
        <v>161</v>
      </c>
      <c r="E115" s="8" t="s">
        <v>117</v>
      </c>
      <c r="F115" s="8" t="n">
        <v>25</v>
      </c>
    </row>
    <row r="116" customFormat="false" ht="15" hidden="false" customHeight="true" outlineLevel="0" collapsed="false">
      <c r="A116" s="8" t="s">
        <v>258</v>
      </c>
      <c r="B116" s="8" t="s">
        <v>267</v>
      </c>
      <c r="C116" s="8" t="s">
        <v>16</v>
      </c>
      <c r="D116" s="8" t="s">
        <v>127</v>
      </c>
      <c r="E116" s="8" t="s">
        <v>117</v>
      </c>
      <c r="F116" s="8" t="n">
        <v>25</v>
      </c>
    </row>
    <row r="117" customFormat="false" ht="15" hidden="false" customHeight="true" outlineLevel="0" collapsed="false">
      <c r="A117" s="8" t="s">
        <v>258</v>
      </c>
      <c r="B117" s="8" t="s">
        <v>268</v>
      </c>
      <c r="C117" s="8" t="s">
        <v>16</v>
      </c>
      <c r="D117" s="8" t="s">
        <v>127</v>
      </c>
      <c r="E117" s="8" t="s">
        <v>117</v>
      </c>
      <c r="F117" s="8" t="n">
        <v>25</v>
      </c>
    </row>
    <row r="118" customFormat="false" ht="15" hidden="false" customHeight="true" outlineLevel="0" collapsed="false">
      <c r="A118" s="8" t="s">
        <v>258</v>
      </c>
      <c r="B118" s="8" t="s">
        <v>269</v>
      </c>
      <c r="C118" s="8" t="s">
        <v>45</v>
      </c>
      <c r="D118" s="8" t="s">
        <v>123</v>
      </c>
      <c r="E118" s="8" t="s">
        <v>117</v>
      </c>
      <c r="F118" s="8" t="n">
        <v>25</v>
      </c>
    </row>
    <row r="119" customFormat="false" ht="15" hidden="false" customHeight="true" outlineLevel="0" collapsed="false">
      <c r="A119" s="8" t="s">
        <v>258</v>
      </c>
      <c r="B119" s="8" t="s">
        <v>270</v>
      </c>
      <c r="C119" s="8" t="s">
        <v>70</v>
      </c>
      <c r="D119" s="8" t="s">
        <v>271</v>
      </c>
      <c r="E119" s="8" t="s">
        <v>272</v>
      </c>
      <c r="F119" s="8" t="n">
        <v>50</v>
      </c>
    </row>
    <row r="120" customFormat="false" ht="15" hidden="false" customHeight="true" outlineLevel="0" collapsed="false">
      <c r="A120" s="8" t="s">
        <v>258</v>
      </c>
      <c r="B120" s="8" t="s">
        <v>273</v>
      </c>
      <c r="C120" s="8" t="s">
        <v>17</v>
      </c>
      <c r="D120" s="8" t="s">
        <v>210</v>
      </c>
      <c r="E120" s="8" t="s">
        <v>274</v>
      </c>
      <c r="F120" s="8" t="n">
        <v>50</v>
      </c>
    </row>
    <row r="121" customFormat="false" ht="15" hidden="false" customHeight="true" outlineLevel="0" collapsed="false">
      <c r="A121" s="8" t="s">
        <v>258</v>
      </c>
      <c r="B121" s="8" t="s">
        <v>275</v>
      </c>
      <c r="C121" s="8" t="s">
        <v>17</v>
      </c>
      <c r="D121" s="8" t="s">
        <v>210</v>
      </c>
      <c r="E121" s="8" t="s">
        <v>274</v>
      </c>
      <c r="F121" s="8" t="n">
        <v>50</v>
      </c>
    </row>
    <row r="122" customFormat="false" ht="15" hidden="false" customHeight="true" outlineLevel="0" collapsed="false">
      <c r="A122" s="8" t="s">
        <v>258</v>
      </c>
      <c r="B122" s="8" t="s">
        <v>276</v>
      </c>
      <c r="C122" s="8" t="s">
        <v>17</v>
      </c>
      <c r="D122" s="8" t="s">
        <v>277</v>
      </c>
      <c r="E122" s="8" t="s">
        <v>278</v>
      </c>
      <c r="F122" s="8" t="n">
        <v>50</v>
      </c>
    </row>
    <row r="123" customFormat="false" ht="15" hidden="false" customHeight="true" outlineLevel="0" collapsed="false">
      <c r="A123" s="8" t="s">
        <v>164</v>
      </c>
      <c r="B123" s="8" t="s">
        <v>279</v>
      </c>
      <c r="C123" s="8" t="s">
        <v>17</v>
      </c>
      <c r="D123" s="8" t="s">
        <v>210</v>
      </c>
      <c r="E123" s="8" t="s">
        <v>274</v>
      </c>
      <c r="F123" s="8" t="n">
        <v>50</v>
      </c>
    </row>
    <row r="124" customFormat="false" ht="15" hidden="false" customHeight="true" outlineLevel="0" collapsed="false">
      <c r="A124" s="8" t="s">
        <v>164</v>
      </c>
      <c r="B124" s="8" t="s">
        <v>280</v>
      </c>
      <c r="C124" s="8" t="s">
        <v>17</v>
      </c>
      <c r="D124" s="8" t="s">
        <v>210</v>
      </c>
      <c r="E124" s="8" t="s">
        <v>274</v>
      </c>
      <c r="F124" s="8" t="n">
        <v>50</v>
      </c>
    </row>
    <row r="125" customFormat="false" ht="15" hidden="false" customHeight="true" outlineLevel="0" collapsed="false">
      <c r="A125" s="8" t="s">
        <v>164</v>
      </c>
      <c r="B125" s="8" t="s">
        <v>281</v>
      </c>
      <c r="C125" s="8" t="s">
        <v>17</v>
      </c>
      <c r="D125" s="8" t="s">
        <v>277</v>
      </c>
      <c r="E125" s="8" t="s">
        <v>278</v>
      </c>
      <c r="F125" s="8" t="n">
        <v>50</v>
      </c>
    </row>
    <row r="126" customFormat="false" ht="15" hidden="false" customHeight="true" outlineLevel="0" collapsed="false">
      <c r="A126" s="8" t="s">
        <v>164</v>
      </c>
      <c r="B126" s="8" t="s">
        <v>282</v>
      </c>
      <c r="C126" s="8" t="s">
        <v>17</v>
      </c>
      <c r="D126" s="8" t="s">
        <v>207</v>
      </c>
      <c r="E126" s="8" t="s">
        <v>278</v>
      </c>
      <c r="F126" s="8" t="n">
        <v>50</v>
      </c>
    </row>
    <row r="127" customFormat="false" ht="15" hidden="false" customHeight="true" outlineLevel="0" collapsed="false">
      <c r="A127" s="8" t="s">
        <v>164</v>
      </c>
      <c r="B127" s="8" t="s">
        <v>283</v>
      </c>
      <c r="C127" s="8" t="s">
        <v>40</v>
      </c>
      <c r="D127" s="8" t="s">
        <v>210</v>
      </c>
      <c r="E127" s="8" t="s">
        <v>211</v>
      </c>
      <c r="F127" s="8" t="n">
        <v>50</v>
      </c>
    </row>
    <row r="128" customFormat="false" ht="15" hidden="false" customHeight="true" outlineLevel="0" collapsed="false">
      <c r="A128" s="8" t="s">
        <v>164</v>
      </c>
      <c r="B128" s="8" t="s">
        <v>284</v>
      </c>
      <c r="C128" s="8" t="s">
        <v>61</v>
      </c>
      <c r="D128" s="8" t="s">
        <v>125</v>
      </c>
      <c r="E128" s="8" t="s">
        <v>101</v>
      </c>
      <c r="F128" s="8" t="n">
        <v>25</v>
      </c>
    </row>
    <row r="129" customFormat="false" ht="15" hidden="false" customHeight="true" outlineLevel="0" collapsed="false">
      <c r="A129" s="8" t="s">
        <v>164</v>
      </c>
      <c r="B129" s="8" t="s">
        <v>285</v>
      </c>
      <c r="C129" s="8" t="s">
        <v>61</v>
      </c>
      <c r="D129" s="8" t="s">
        <v>149</v>
      </c>
      <c r="E129" s="8" t="s">
        <v>204</v>
      </c>
      <c r="F129" s="8" t="n">
        <v>25</v>
      </c>
    </row>
    <row r="130" customFormat="false" ht="15" hidden="false" customHeight="true" outlineLevel="0" collapsed="false">
      <c r="A130" s="8" t="s">
        <v>164</v>
      </c>
      <c r="B130" s="8" t="s">
        <v>286</v>
      </c>
      <c r="C130" s="8" t="s">
        <v>61</v>
      </c>
      <c r="D130" s="8" t="s">
        <v>100</v>
      </c>
      <c r="E130" s="8" t="s">
        <v>101</v>
      </c>
      <c r="F130" s="8" t="n">
        <v>25</v>
      </c>
    </row>
    <row r="131" customFormat="false" ht="15" hidden="false" customHeight="true" outlineLevel="0" collapsed="false">
      <c r="A131" s="8" t="s">
        <v>164</v>
      </c>
      <c r="B131" s="8" t="s">
        <v>287</v>
      </c>
      <c r="C131" s="8" t="s">
        <v>45</v>
      </c>
      <c r="D131" s="8" t="s">
        <v>119</v>
      </c>
      <c r="E131" s="8" t="s">
        <v>117</v>
      </c>
      <c r="F131" s="8" t="n">
        <v>25</v>
      </c>
    </row>
    <row r="132" customFormat="false" ht="15" hidden="false" customHeight="true" outlineLevel="0" collapsed="false">
      <c r="A132" s="8" t="s">
        <v>164</v>
      </c>
      <c r="B132" s="8" t="s">
        <v>288</v>
      </c>
      <c r="C132" s="8" t="s">
        <v>14</v>
      </c>
      <c r="D132" s="8" t="s">
        <v>134</v>
      </c>
      <c r="E132" s="8" t="s">
        <v>135</v>
      </c>
      <c r="F132" s="8" t="n">
        <v>50</v>
      </c>
    </row>
    <row r="133" customFormat="false" ht="15" hidden="false" customHeight="true" outlineLevel="0" collapsed="false">
      <c r="A133" s="8" t="s">
        <v>164</v>
      </c>
      <c r="B133" s="8" t="s">
        <v>289</v>
      </c>
      <c r="C133" s="8" t="s">
        <v>78</v>
      </c>
      <c r="D133" s="8" t="s">
        <v>130</v>
      </c>
      <c r="E133" s="8" t="s">
        <v>110</v>
      </c>
      <c r="F133" s="8" t="n">
        <v>25</v>
      </c>
    </row>
    <row r="134" customFormat="false" ht="15" hidden="false" customHeight="true" outlineLevel="0" collapsed="false">
      <c r="A134" s="8" t="s">
        <v>164</v>
      </c>
      <c r="B134" s="8" t="s">
        <v>290</v>
      </c>
      <c r="C134" s="8" t="s">
        <v>16</v>
      </c>
      <c r="D134" s="8" t="s">
        <v>134</v>
      </c>
      <c r="E134" s="8" t="s">
        <v>152</v>
      </c>
      <c r="F134" s="8" t="n">
        <v>50</v>
      </c>
    </row>
    <row r="135" customFormat="false" ht="15" hidden="false" customHeight="true" outlineLevel="0" collapsed="false">
      <c r="A135" s="8" t="s">
        <v>164</v>
      </c>
      <c r="B135" s="8" t="s">
        <v>291</v>
      </c>
      <c r="C135" s="8" t="s">
        <v>78</v>
      </c>
      <c r="D135" s="8" t="s">
        <v>161</v>
      </c>
      <c r="E135" s="8" t="s">
        <v>110</v>
      </c>
      <c r="F135" s="8" t="n">
        <v>25</v>
      </c>
    </row>
    <row r="136" customFormat="false" ht="15" hidden="false" customHeight="true" outlineLevel="0" collapsed="false">
      <c r="A136" s="8" t="s">
        <v>164</v>
      </c>
      <c r="B136" s="8" t="s">
        <v>292</v>
      </c>
      <c r="C136" s="8" t="s">
        <v>20</v>
      </c>
      <c r="D136" s="8" t="s">
        <v>210</v>
      </c>
      <c r="E136" s="8" t="s">
        <v>274</v>
      </c>
      <c r="F136" s="8" t="n">
        <v>50</v>
      </c>
    </row>
    <row r="137" customFormat="false" ht="15" hidden="false" customHeight="true" outlineLevel="0" collapsed="false">
      <c r="A137" s="8" t="s">
        <v>293</v>
      </c>
      <c r="B137" s="8" t="s">
        <v>294</v>
      </c>
      <c r="C137" s="8" t="s">
        <v>14</v>
      </c>
      <c r="D137" s="8" t="s">
        <v>134</v>
      </c>
      <c r="E137" s="8" t="s">
        <v>135</v>
      </c>
      <c r="F137" s="8" t="n">
        <v>50</v>
      </c>
    </row>
    <row r="138" customFormat="false" ht="15" hidden="false" customHeight="true" outlineLevel="0" collapsed="false">
      <c r="A138" s="8" t="s">
        <v>293</v>
      </c>
      <c r="B138" s="8" t="s">
        <v>295</v>
      </c>
      <c r="C138" s="8" t="s">
        <v>78</v>
      </c>
      <c r="D138" s="8" t="s">
        <v>125</v>
      </c>
      <c r="E138" s="8" t="s">
        <v>110</v>
      </c>
      <c r="F138" s="8" t="n">
        <v>25</v>
      </c>
    </row>
    <row r="139" customFormat="false" ht="15" hidden="false" customHeight="true" outlineLevel="0" collapsed="false">
      <c r="A139" s="8" t="s">
        <v>293</v>
      </c>
      <c r="B139" s="8" t="s">
        <v>296</v>
      </c>
      <c r="C139" s="8" t="s">
        <v>10</v>
      </c>
      <c r="D139" s="8" t="s">
        <v>134</v>
      </c>
      <c r="E139" s="8" t="s">
        <v>297</v>
      </c>
      <c r="F139" s="8" t="n">
        <v>50</v>
      </c>
    </row>
    <row r="140" customFormat="false" ht="15" hidden="false" customHeight="true" outlineLevel="0" collapsed="false">
      <c r="A140" s="8" t="s">
        <v>293</v>
      </c>
      <c r="B140" s="8" t="s">
        <v>298</v>
      </c>
      <c r="C140" s="8" t="s">
        <v>14</v>
      </c>
      <c r="D140" s="8" t="s">
        <v>109</v>
      </c>
      <c r="E140" s="8" t="s">
        <v>117</v>
      </c>
      <c r="F140" s="8" t="n">
        <v>25</v>
      </c>
    </row>
    <row r="141" customFormat="false" ht="15" hidden="false" customHeight="true" outlineLevel="0" collapsed="false">
      <c r="A141" s="8" t="s">
        <v>293</v>
      </c>
      <c r="B141" s="8" t="s">
        <v>299</v>
      </c>
      <c r="C141" s="8" t="s">
        <v>46</v>
      </c>
      <c r="D141" s="8" t="s">
        <v>192</v>
      </c>
      <c r="E141" s="8" t="s">
        <v>194</v>
      </c>
      <c r="F141" s="8" t="n">
        <v>25</v>
      </c>
    </row>
    <row r="142" customFormat="false" ht="15" hidden="false" customHeight="true" outlineLevel="0" collapsed="false">
      <c r="A142" s="8" t="s">
        <v>293</v>
      </c>
      <c r="B142" s="8" t="s">
        <v>300</v>
      </c>
      <c r="C142" s="8" t="s">
        <v>14</v>
      </c>
      <c r="D142" s="8" t="s">
        <v>119</v>
      </c>
      <c r="E142" s="8" t="s">
        <v>117</v>
      </c>
      <c r="F142" s="8" t="n">
        <v>25</v>
      </c>
    </row>
    <row r="143" customFormat="false" ht="15" hidden="false" customHeight="true" outlineLevel="0" collapsed="false">
      <c r="A143" s="8" t="s">
        <v>293</v>
      </c>
      <c r="B143" s="8" t="s">
        <v>301</v>
      </c>
      <c r="C143" s="8" t="s">
        <v>14</v>
      </c>
      <c r="D143" s="8" t="s">
        <v>134</v>
      </c>
      <c r="E143" s="8" t="s">
        <v>152</v>
      </c>
      <c r="F143" s="8" t="n">
        <v>50</v>
      </c>
    </row>
    <row r="144" customFormat="false" ht="15" hidden="false" customHeight="true" outlineLevel="0" collapsed="false">
      <c r="A144" s="8" t="s">
        <v>293</v>
      </c>
      <c r="B144" s="8" t="s">
        <v>302</v>
      </c>
      <c r="C144" s="8" t="s">
        <v>23</v>
      </c>
      <c r="D144" s="8" t="s">
        <v>303</v>
      </c>
      <c r="E144" s="8" t="s">
        <v>304</v>
      </c>
      <c r="F144" s="8" t="n">
        <v>25</v>
      </c>
    </row>
    <row r="145" customFormat="false" ht="15" hidden="false" customHeight="true" outlineLevel="0" collapsed="false">
      <c r="A145" s="8" t="s">
        <v>293</v>
      </c>
      <c r="B145" s="8" t="s">
        <v>305</v>
      </c>
      <c r="C145" s="8" t="s">
        <v>14</v>
      </c>
      <c r="D145" s="8" t="s">
        <v>127</v>
      </c>
      <c r="E145" s="8" t="s">
        <v>117</v>
      </c>
      <c r="F145" s="8" t="n">
        <v>25</v>
      </c>
    </row>
    <row r="146" customFormat="false" ht="15" hidden="false" customHeight="true" outlineLevel="0" collapsed="false">
      <c r="A146" s="8" t="s">
        <v>293</v>
      </c>
      <c r="B146" s="8" t="s">
        <v>306</v>
      </c>
      <c r="C146" s="8" t="s">
        <v>66</v>
      </c>
      <c r="D146" s="8" t="s">
        <v>100</v>
      </c>
      <c r="E146" s="8" t="s">
        <v>117</v>
      </c>
      <c r="F146" s="8" t="n">
        <v>50</v>
      </c>
    </row>
    <row r="147" customFormat="false" ht="15" hidden="false" customHeight="true" outlineLevel="0" collapsed="false">
      <c r="A147" s="8" t="s">
        <v>293</v>
      </c>
      <c r="B147" s="8" t="s">
        <v>307</v>
      </c>
      <c r="C147" s="8" t="s">
        <v>46</v>
      </c>
      <c r="D147" s="8" t="s">
        <v>130</v>
      </c>
      <c r="E147" s="8" t="s">
        <v>117</v>
      </c>
      <c r="F147" s="8" t="n">
        <v>25</v>
      </c>
    </row>
    <row r="148" customFormat="false" ht="15" hidden="false" customHeight="true" outlineLevel="0" collapsed="false">
      <c r="A148" s="8" t="s">
        <v>293</v>
      </c>
      <c r="B148" s="8" t="s">
        <v>308</v>
      </c>
      <c r="C148" s="8" t="s">
        <v>78</v>
      </c>
      <c r="D148" s="8" t="s">
        <v>303</v>
      </c>
      <c r="E148" s="8" t="s">
        <v>304</v>
      </c>
      <c r="F148" s="8" t="n">
        <v>25</v>
      </c>
    </row>
    <row r="149" customFormat="false" ht="15" hidden="false" customHeight="true" outlineLevel="0" collapsed="false">
      <c r="A149" s="8" t="s">
        <v>293</v>
      </c>
      <c r="B149" s="8" t="s">
        <v>309</v>
      </c>
      <c r="C149" s="8" t="s">
        <v>46</v>
      </c>
      <c r="D149" s="8" t="s">
        <v>130</v>
      </c>
      <c r="E149" s="8" t="s">
        <v>117</v>
      </c>
      <c r="F149" s="8" t="n">
        <v>25</v>
      </c>
    </row>
    <row r="150" customFormat="false" ht="15" hidden="false" customHeight="true" outlineLevel="0" collapsed="false">
      <c r="A150" s="8" t="s">
        <v>293</v>
      </c>
      <c r="B150" s="8" t="s">
        <v>310</v>
      </c>
      <c r="C150" s="8" t="s">
        <v>66</v>
      </c>
      <c r="D150" s="8" t="s">
        <v>100</v>
      </c>
      <c r="E150" s="8" t="s">
        <v>117</v>
      </c>
      <c r="F150" s="8" t="n">
        <v>50</v>
      </c>
    </row>
    <row r="151" customFormat="false" ht="15" hidden="false" customHeight="true" outlineLevel="0" collapsed="false">
      <c r="A151" s="8" t="s">
        <v>293</v>
      </c>
      <c r="B151" s="8" t="s">
        <v>311</v>
      </c>
      <c r="C151" s="8" t="s">
        <v>78</v>
      </c>
      <c r="D151" s="8" t="s">
        <v>303</v>
      </c>
      <c r="E151" s="8" t="s">
        <v>304</v>
      </c>
      <c r="F151" s="8" t="n">
        <v>50</v>
      </c>
    </row>
    <row r="152" customFormat="false" ht="15" hidden="false" customHeight="true" outlineLevel="0" collapsed="false">
      <c r="A152" s="8" t="s">
        <v>293</v>
      </c>
      <c r="B152" s="8" t="s">
        <v>312</v>
      </c>
      <c r="C152" s="8" t="s">
        <v>20</v>
      </c>
      <c r="D152" s="8" t="s">
        <v>303</v>
      </c>
      <c r="E152" s="8" t="s">
        <v>304</v>
      </c>
      <c r="F152" s="8" t="n">
        <v>50</v>
      </c>
    </row>
    <row r="153" customFormat="false" ht="15" hidden="false" customHeight="true" outlineLevel="0" collapsed="false">
      <c r="A153" s="8" t="s">
        <v>293</v>
      </c>
      <c r="B153" s="8" t="s">
        <v>313</v>
      </c>
      <c r="C153" s="8" t="s">
        <v>70</v>
      </c>
      <c r="D153" s="8" t="s">
        <v>303</v>
      </c>
      <c r="E153" s="8" t="s">
        <v>304</v>
      </c>
      <c r="F153" s="8" t="n">
        <v>50</v>
      </c>
    </row>
    <row r="154" customFormat="false" ht="15" hidden="false" customHeight="true" outlineLevel="0" collapsed="false">
      <c r="A154" s="8" t="s">
        <v>293</v>
      </c>
      <c r="B154" s="8" t="s">
        <v>314</v>
      </c>
      <c r="C154" s="8" t="s">
        <v>16</v>
      </c>
      <c r="D154" s="8" t="s">
        <v>303</v>
      </c>
      <c r="E154" s="8" t="s">
        <v>304</v>
      </c>
      <c r="F154" s="8" t="n">
        <v>50</v>
      </c>
    </row>
    <row r="155" customFormat="false" ht="15" hidden="false" customHeight="true" outlineLevel="0" collapsed="false">
      <c r="A155" s="8" t="s">
        <v>293</v>
      </c>
      <c r="B155" s="8" t="s">
        <v>315</v>
      </c>
      <c r="C155" s="8" t="s">
        <v>14</v>
      </c>
      <c r="D155" s="8" t="s">
        <v>186</v>
      </c>
      <c r="E155" s="8" t="s">
        <v>117</v>
      </c>
      <c r="F155" s="8" t="n">
        <v>25</v>
      </c>
    </row>
    <row r="156" customFormat="false" ht="15" hidden="false" customHeight="true" outlineLevel="0" collapsed="false">
      <c r="A156" s="8" t="s">
        <v>293</v>
      </c>
      <c r="B156" s="8" t="s">
        <v>316</v>
      </c>
      <c r="C156" s="8" t="s">
        <v>14</v>
      </c>
      <c r="D156" s="8" t="s">
        <v>134</v>
      </c>
      <c r="E156" s="8" t="s">
        <v>179</v>
      </c>
      <c r="F156" s="8" t="n">
        <v>50</v>
      </c>
    </row>
    <row r="157" customFormat="false" ht="15" hidden="false" customHeight="true" outlineLevel="0" collapsed="false">
      <c r="A157" s="8" t="s">
        <v>293</v>
      </c>
      <c r="B157" s="8" t="s">
        <v>317</v>
      </c>
      <c r="C157" s="8" t="s">
        <v>18</v>
      </c>
      <c r="D157" s="8" t="s">
        <v>161</v>
      </c>
      <c r="E157" s="8" t="s">
        <v>117</v>
      </c>
      <c r="F157" s="8" t="n">
        <v>25</v>
      </c>
    </row>
    <row r="158" customFormat="false" ht="15" hidden="false" customHeight="true" outlineLevel="0" collapsed="false">
      <c r="A158" s="8" t="s">
        <v>293</v>
      </c>
      <c r="B158" s="8" t="s">
        <v>318</v>
      </c>
      <c r="C158" s="8" t="s">
        <v>18</v>
      </c>
      <c r="D158" s="8" t="s">
        <v>112</v>
      </c>
      <c r="E158" s="8" t="s">
        <v>117</v>
      </c>
      <c r="F158" s="8" t="n">
        <v>25</v>
      </c>
    </row>
    <row r="159" customFormat="false" ht="15" hidden="false" customHeight="true" outlineLevel="0" collapsed="false">
      <c r="A159" s="8" t="s">
        <v>293</v>
      </c>
      <c r="B159" s="8" t="s">
        <v>319</v>
      </c>
      <c r="C159" s="8" t="s">
        <v>18</v>
      </c>
      <c r="D159" s="8" t="s">
        <v>127</v>
      </c>
      <c r="E159" s="8" t="s">
        <v>117</v>
      </c>
      <c r="F159" s="8" t="n">
        <v>25</v>
      </c>
    </row>
    <row r="160" customFormat="false" ht="15" hidden="false" customHeight="true" outlineLevel="0" collapsed="false">
      <c r="A160" s="8" t="s">
        <v>293</v>
      </c>
      <c r="B160" s="8" t="s">
        <v>320</v>
      </c>
      <c r="C160" s="8" t="s">
        <v>44</v>
      </c>
      <c r="D160" s="8" t="s">
        <v>109</v>
      </c>
      <c r="E160" s="8" t="s">
        <v>117</v>
      </c>
      <c r="F160" s="8" t="n">
        <v>25</v>
      </c>
    </row>
    <row r="161" customFormat="false" ht="15" hidden="false" customHeight="true" outlineLevel="0" collapsed="false">
      <c r="A161" s="8" t="s">
        <v>321</v>
      </c>
      <c r="B161" s="8" t="s">
        <v>322</v>
      </c>
      <c r="C161" s="8" t="s">
        <v>14</v>
      </c>
      <c r="D161" s="8" t="s">
        <v>134</v>
      </c>
      <c r="E161" s="8" t="s">
        <v>135</v>
      </c>
      <c r="F161" s="8" t="n">
        <v>50</v>
      </c>
    </row>
    <row r="162" customFormat="false" ht="15" hidden="false" customHeight="true" outlineLevel="0" collapsed="false">
      <c r="A162" s="8" t="s">
        <v>321</v>
      </c>
      <c r="B162" s="8" t="s">
        <v>323</v>
      </c>
      <c r="C162" s="8" t="s">
        <v>78</v>
      </c>
      <c r="D162" s="8" t="s">
        <v>303</v>
      </c>
      <c r="E162" s="8" t="s">
        <v>304</v>
      </c>
      <c r="F162" s="8" t="n">
        <v>50</v>
      </c>
    </row>
    <row r="163" customFormat="false" ht="15" hidden="false" customHeight="true" outlineLevel="0" collapsed="false">
      <c r="A163" s="8" t="s">
        <v>321</v>
      </c>
      <c r="B163" s="8" t="s">
        <v>324</v>
      </c>
      <c r="C163" s="8" t="s">
        <v>87</v>
      </c>
      <c r="D163" s="8" t="s">
        <v>149</v>
      </c>
      <c r="E163" s="8" t="s">
        <v>117</v>
      </c>
      <c r="F163" s="8" t="n">
        <v>25</v>
      </c>
    </row>
    <row r="164" customFormat="false" ht="15" hidden="false" customHeight="true" outlineLevel="0" collapsed="false">
      <c r="A164" s="8" t="s">
        <v>321</v>
      </c>
      <c r="B164" s="8" t="s">
        <v>325</v>
      </c>
      <c r="C164" s="8" t="s">
        <v>87</v>
      </c>
      <c r="D164" s="8" t="s">
        <v>119</v>
      </c>
      <c r="E164" s="8" t="s">
        <v>117</v>
      </c>
      <c r="F164" s="8" t="n">
        <v>25</v>
      </c>
    </row>
    <row r="165" customFormat="false" ht="15" hidden="false" customHeight="true" outlineLevel="0" collapsed="false">
      <c r="A165" s="8" t="s">
        <v>321</v>
      </c>
      <c r="B165" s="8" t="s">
        <v>326</v>
      </c>
      <c r="C165" s="8" t="s">
        <v>87</v>
      </c>
      <c r="D165" s="8" t="s">
        <v>186</v>
      </c>
      <c r="E165" s="8" t="s">
        <v>117</v>
      </c>
      <c r="F165" s="8" t="n">
        <v>25</v>
      </c>
    </row>
    <row r="166" customFormat="false" ht="15" hidden="false" customHeight="true" outlineLevel="0" collapsed="false">
      <c r="A166" s="8" t="s">
        <v>321</v>
      </c>
      <c r="B166" s="8" t="s">
        <v>327</v>
      </c>
      <c r="C166" s="8" t="s">
        <v>27</v>
      </c>
      <c r="D166" s="8" t="s">
        <v>303</v>
      </c>
      <c r="E166" s="8" t="s">
        <v>304</v>
      </c>
      <c r="F166" s="8" t="n">
        <v>50</v>
      </c>
    </row>
    <row r="167" customFormat="false" ht="15" hidden="false" customHeight="true" outlineLevel="0" collapsed="false">
      <c r="A167" s="8" t="s">
        <v>321</v>
      </c>
      <c r="B167" s="8" t="s">
        <v>328</v>
      </c>
      <c r="C167" s="8" t="s">
        <v>20</v>
      </c>
      <c r="D167" s="8" t="s">
        <v>210</v>
      </c>
      <c r="E167" s="8" t="s">
        <v>274</v>
      </c>
      <c r="F167" s="8" t="n">
        <v>25</v>
      </c>
    </row>
    <row r="168" customFormat="false" ht="15" hidden="false" customHeight="true" outlineLevel="0" collapsed="false">
      <c r="A168" s="8" t="s">
        <v>321</v>
      </c>
      <c r="B168" s="8" t="s">
        <v>329</v>
      </c>
      <c r="C168" s="8" t="s">
        <v>20</v>
      </c>
      <c r="D168" s="8" t="s">
        <v>134</v>
      </c>
      <c r="E168" s="8" t="s">
        <v>135</v>
      </c>
      <c r="F168" s="8" t="n">
        <v>50</v>
      </c>
    </row>
    <row r="169" customFormat="false" ht="15" hidden="false" customHeight="true" outlineLevel="0" collapsed="false">
      <c r="A169" s="8" t="s">
        <v>321</v>
      </c>
      <c r="B169" s="8" t="s">
        <v>330</v>
      </c>
      <c r="C169" s="8" t="s">
        <v>10</v>
      </c>
      <c r="D169" s="8" t="s">
        <v>134</v>
      </c>
      <c r="E169" s="8" t="s">
        <v>135</v>
      </c>
      <c r="F169" s="8" t="n">
        <v>50</v>
      </c>
    </row>
    <row r="170" customFormat="false" ht="15" hidden="false" customHeight="true" outlineLevel="0" collapsed="false">
      <c r="A170" s="8" t="s">
        <v>166</v>
      </c>
      <c r="B170" s="8" t="s">
        <v>331</v>
      </c>
      <c r="C170" s="8" t="s">
        <v>10</v>
      </c>
      <c r="D170" s="8" t="s">
        <v>134</v>
      </c>
      <c r="E170" s="8" t="s">
        <v>135</v>
      </c>
      <c r="F170" s="8" t="n">
        <v>50</v>
      </c>
    </row>
    <row r="171" customFormat="false" ht="15" hidden="false" customHeight="true" outlineLevel="0" collapsed="false">
      <c r="A171" s="8" t="s">
        <v>166</v>
      </c>
      <c r="B171" s="8" t="s">
        <v>332</v>
      </c>
      <c r="C171" s="8" t="s">
        <v>44</v>
      </c>
      <c r="D171" s="8" t="s">
        <v>109</v>
      </c>
      <c r="E171" s="8" t="s">
        <v>117</v>
      </c>
      <c r="F171" s="8" t="n">
        <v>25</v>
      </c>
    </row>
    <row r="172" customFormat="false" ht="15" hidden="false" customHeight="true" outlineLevel="0" collapsed="false">
      <c r="A172" s="8" t="s">
        <v>166</v>
      </c>
      <c r="B172" s="8" t="s">
        <v>333</v>
      </c>
      <c r="C172" s="8" t="s">
        <v>18</v>
      </c>
      <c r="D172" s="8" t="s">
        <v>134</v>
      </c>
      <c r="E172" s="8" t="s">
        <v>152</v>
      </c>
      <c r="F172" s="8" t="n">
        <v>50</v>
      </c>
    </row>
    <row r="173" customFormat="false" ht="15" hidden="false" customHeight="true" outlineLevel="0" collapsed="false">
      <c r="A173" s="8" t="s">
        <v>166</v>
      </c>
      <c r="B173" s="8" t="s">
        <v>334</v>
      </c>
      <c r="C173" s="8" t="s">
        <v>18</v>
      </c>
      <c r="D173" s="8" t="s">
        <v>134</v>
      </c>
      <c r="E173" s="8" t="s">
        <v>135</v>
      </c>
      <c r="F173" s="8" t="n">
        <v>50</v>
      </c>
    </row>
    <row r="174" customFormat="false" ht="15" hidden="false" customHeight="true" outlineLevel="0" collapsed="false">
      <c r="A174" s="8" t="s">
        <v>166</v>
      </c>
      <c r="B174" s="8" t="s">
        <v>335</v>
      </c>
      <c r="C174" s="8" t="s">
        <v>20</v>
      </c>
      <c r="D174" s="8" t="s">
        <v>134</v>
      </c>
      <c r="E174" s="8" t="s">
        <v>263</v>
      </c>
      <c r="F174" s="8" t="n">
        <v>50</v>
      </c>
    </row>
    <row r="175" customFormat="false" ht="15" hidden="false" customHeight="true" outlineLevel="0" collapsed="false">
      <c r="A175" s="8" t="s">
        <v>166</v>
      </c>
      <c r="B175" s="8" t="s">
        <v>336</v>
      </c>
      <c r="C175" s="8" t="s">
        <v>44</v>
      </c>
      <c r="D175" s="8" t="s">
        <v>271</v>
      </c>
      <c r="E175" s="8" t="s">
        <v>208</v>
      </c>
      <c r="F175" s="8" t="n">
        <v>25</v>
      </c>
    </row>
    <row r="176" customFormat="false" ht="15" hidden="false" customHeight="true" outlineLevel="0" collapsed="false">
      <c r="A176" s="8" t="s">
        <v>166</v>
      </c>
      <c r="B176" s="8" t="s">
        <v>337</v>
      </c>
      <c r="C176" s="8" t="s">
        <v>44</v>
      </c>
      <c r="D176" s="8" t="s">
        <v>338</v>
      </c>
      <c r="E176" s="8" t="s">
        <v>339</v>
      </c>
      <c r="F176" s="8" t="n">
        <v>50</v>
      </c>
    </row>
    <row r="177" customFormat="false" ht="15" hidden="false" customHeight="true" outlineLevel="0" collapsed="false">
      <c r="A177" s="8" t="s">
        <v>340</v>
      </c>
      <c r="B177" s="8" t="s">
        <v>341</v>
      </c>
      <c r="C177" s="8" t="s">
        <v>44</v>
      </c>
      <c r="D177" s="8" t="s">
        <v>338</v>
      </c>
      <c r="E177" s="8" t="s">
        <v>339</v>
      </c>
      <c r="F177" s="8" t="n">
        <v>50</v>
      </c>
    </row>
    <row r="178" customFormat="false" ht="15" hidden="false" customHeight="true" outlineLevel="0" collapsed="false">
      <c r="A178" s="8" t="s">
        <v>340</v>
      </c>
      <c r="B178" s="8" t="s">
        <v>342</v>
      </c>
      <c r="C178" s="8" t="s">
        <v>20</v>
      </c>
      <c r="D178" s="8" t="s">
        <v>134</v>
      </c>
      <c r="E178" s="8" t="s">
        <v>135</v>
      </c>
      <c r="F178" s="8" t="n">
        <v>50</v>
      </c>
    </row>
    <row r="179" customFormat="false" ht="15" hidden="false" customHeight="true" outlineLevel="0" collapsed="false">
      <c r="A179" s="8" t="s">
        <v>340</v>
      </c>
      <c r="B179" s="8" t="s">
        <v>343</v>
      </c>
      <c r="C179" s="8" t="s">
        <v>344</v>
      </c>
      <c r="D179" s="8" t="s">
        <v>176</v>
      </c>
      <c r="E179" s="8" t="s">
        <v>177</v>
      </c>
      <c r="F179" s="8" t="n">
        <v>25</v>
      </c>
    </row>
    <row r="180" customFormat="false" ht="15" hidden="false" customHeight="true" outlineLevel="0" collapsed="false">
      <c r="A180" s="8" t="s">
        <v>169</v>
      </c>
      <c r="B180" s="8" t="s">
        <v>345</v>
      </c>
      <c r="C180" s="8" t="s">
        <v>10</v>
      </c>
      <c r="D180" s="8" t="s">
        <v>176</v>
      </c>
      <c r="E180" s="8" t="s">
        <v>177</v>
      </c>
      <c r="F180" s="8" t="n">
        <v>25</v>
      </c>
    </row>
    <row r="181" customFormat="false" ht="15" hidden="false" customHeight="true" outlineLevel="0" collapsed="false">
      <c r="A181" s="8" t="s">
        <v>169</v>
      </c>
      <c r="B181" s="8" t="s">
        <v>346</v>
      </c>
      <c r="C181" s="8" t="s">
        <v>64</v>
      </c>
      <c r="D181" s="8" t="s">
        <v>192</v>
      </c>
      <c r="E181" s="8" t="s">
        <v>194</v>
      </c>
      <c r="F181" s="8" t="n">
        <v>25</v>
      </c>
    </row>
    <row r="182" customFormat="false" ht="15" hidden="false" customHeight="true" outlineLevel="0" collapsed="false">
      <c r="A182" s="8" t="s">
        <v>169</v>
      </c>
      <c r="B182" s="8" t="s">
        <v>347</v>
      </c>
      <c r="C182" s="8" t="s">
        <v>74</v>
      </c>
      <c r="D182" s="8" t="s">
        <v>176</v>
      </c>
      <c r="E182" s="8" t="s">
        <v>183</v>
      </c>
      <c r="F182" s="8" t="n">
        <v>25</v>
      </c>
    </row>
    <row r="183" customFormat="false" ht="15" hidden="false" customHeight="true" outlineLevel="0" collapsed="false">
      <c r="A183" s="8" t="s">
        <v>169</v>
      </c>
      <c r="B183" s="8" t="s">
        <v>348</v>
      </c>
      <c r="C183" s="8" t="s">
        <v>42</v>
      </c>
      <c r="D183" s="8" t="s">
        <v>127</v>
      </c>
      <c r="E183" s="8" t="s">
        <v>117</v>
      </c>
      <c r="F183" s="8" t="n">
        <v>25</v>
      </c>
    </row>
    <row r="184" customFormat="false" ht="15" hidden="false" customHeight="true" outlineLevel="0" collapsed="false">
      <c r="A184" s="8" t="s">
        <v>169</v>
      </c>
      <c r="B184" s="8" t="s">
        <v>349</v>
      </c>
      <c r="C184" s="8" t="s">
        <v>42</v>
      </c>
      <c r="D184" s="8" t="s">
        <v>119</v>
      </c>
      <c r="E184" s="8" t="s">
        <v>117</v>
      </c>
      <c r="F184" s="8" t="n">
        <v>25</v>
      </c>
    </row>
    <row r="185" customFormat="false" ht="15" hidden="false" customHeight="true" outlineLevel="0" collapsed="false">
      <c r="A185" s="8" t="s">
        <v>350</v>
      </c>
      <c r="B185" s="8" t="s">
        <v>351</v>
      </c>
      <c r="C185" s="8" t="s">
        <v>29</v>
      </c>
      <c r="D185" s="8" t="s">
        <v>123</v>
      </c>
      <c r="E185" s="8" t="s">
        <v>117</v>
      </c>
      <c r="F185" s="8" t="n">
        <v>25</v>
      </c>
    </row>
    <row r="186" customFormat="false" ht="15" hidden="false" customHeight="true" outlineLevel="0" collapsed="false">
      <c r="A186" s="8" t="s">
        <v>350</v>
      </c>
      <c r="B186" s="8" t="s">
        <v>352</v>
      </c>
      <c r="C186" s="8" t="s">
        <v>29</v>
      </c>
      <c r="D186" s="8" t="s">
        <v>149</v>
      </c>
      <c r="E186" s="8" t="s">
        <v>117</v>
      </c>
      <c r="F186" s="8" t="n">
        <v>25</v>
      </c>
    </row>
    <row r="187" customFormat="false" ht="15" hidden="false" customHeight="true" outlineLevel="0" collapsed="false">
      <c r="A187" s="8" t="s">
        <v>350</v>
      </c>
      <c r="B187" s="8" t="s">
        <v>353</v>
      </c>
      <c r="C187" s="8" t="s">
        <v>29</v>
      </c>
      <c r="D187" s="8" t="s">
        <v>127</v>
      </c>
      <c r="E187" s="8" t="s">
        <v>117</v>
      </c>
      <c r="F187" s="8" t="n">
        <v>25</v>
      </c>
    </row>
    <row r="188" customFormat="false" ht="15" hidden="false" customHeight="true" outlineLevel="0" collapsed="false">
      <c r="A188" s="8" t="s">
        <v>350</v>
      </c>
      <c r="B188" s="8" t="s">
        <v>354</v>
      </c>
      <c r="C188" s="8" t="s">
        <v>18</v>
      </c>
      <c r="D188" s="8" t="s">
        <v>112</v>
      </c>
      <c r="E188" s="8" t="s">
        <v>117</v>
      </c>
      <c r="F188" s="8" t="n">
        <v>25</v>
      </c>
    </row>
    <row r="189" customFormat="false" ht="15" hidden="false" customHeight="true" outlineLevel="0" collapsed="false">
      <c r="A189" s="8" t="s">
        <v>350</v>
      </c>
      <c r="B189" s="8" t="s">
        <v>355</v>
      </c>
      <c r="C189" s="8" t="s">
        <v>83</v>
      </c>
      <c r="D189" s="8" t="s">
        <v>119</v>
      </c>
      <c r="E189" s="8" t="s">
        <v>204</v>
      </c>
      <c r="F189" s="8" t="n">
        <v>25</v>
      </c>
    </row>
    <row r="190" customFormat="false" ht="15" hidden="false" customHeight="true" outlineLevel="0" collapsed="false">
      <c r="A190" s="8" t="s">
        <v>350</v>
      </c>
      <c r="B190" s="8" t="s">
        <v>356</v>
      </c>
      <c r="C190" s="8" t="s">
        <v>83</v>
      </c>
      <c r="D190" s="8" t="s">
        <v>130</v>
      </c>
      <c r="E190" s="8" t="s">
        <v>357</v>
      </c>
      <c r="F190" s="8" t="n">
        <v>50</v>
      </c>
    </row>
    <row r="191" customFormat="false" ht="15" hidden="false" customHeight="true" outlineLevel="0" collapsed="false">
      <c r="A191" s="8" t="s">
        <v>358</v>
      </c>
      <c r="B191" s="8" t="s">
        <v>359</v>
      </c>
      <c r="C191" s="8" t="s">
        <v>20</v>
      </c>
      <c r="D191" s="8" t="s">
        <v>176</v>
      </c>
      <c r="E191" s="8" t="s">
        <v>194</v>
      </c>
      <c r="F191" s="8" t="n">
        <v>25</v>
      </c>
    </row>
    <row r="192" customFormat="false" ht="15" hidden="false" customHeight="true" outlineLevel="0" collapsed="false">
      <c r="A192" s="8" t="s">
        <v>358</v>
      </c>
      <c r="B192" s="8" t="s">
        <v>360</v>
      </c>
      <c r="C192" s="8" t="s">
        <v>25</v>
      </c>
      <c r="D192" s="8" t="s">
        <v>119</v>
      </c>
      <c r="E192" s="8" t="s">
        <v>117</v>
      </c>
      <c r="F192" s="8" t="n">
        <v>25</v>
      </c>
    </row>
    <row r="193" customFormat="false" ht="15" hidden="false" customHeight="true" outlineLevel="0" collapsed="false">
      <c r="A193" s="8" t="s">
        <v>358</v>
      </c>
      <c r="B193" s="8" t="s">
        <v>361</v>
      </c>
      <c r="C193" s="8" t="s">
        <v>74</v>
      </c>
      <c r="D193" s="8" t="s">
        <v>112</v>
      </c>
      <c r="E193" s="8" t="s">
        <v>117</v>
      </c>
      <c r="F193" s="8" t="n">
        <v>25</v>
      </c>
    </row>
    <row r="194" customFormat="false" ht="15" hidden="false" customHeight="true" outlineLevel="0" collapsed="false">
      <c r="A194" s="8" t="s">
        <v>358</v>
      </c>
      <c r="B194" s="8" t="s">
        <v>362</v>
      </c>
      <c r="C194" s="8" t="s">
        <v>74</v>
      </c>
      <c r="D194" s="8" t="s">
        <v>130</v>
      </c>
      <c r="E194" s="8" t="s">
        <v>117</v>
      </c>
      <c r="F194" s="8" t="n">
        <v>25</v>
      </c>
    </row>
    <row r="195" customFormat="false" ht="15" hidden="false" customHeight="true" outlineLevel="0" collapsed="false">
      <c r="A195" s="8" t="s">
        <v>358</v>
      </c>
      <c r="B195" s="8" t="s">
        <v>363</v>
      </c>
      <c r="C195" s="8" t="s">
        <v>88</v>
      </c>
      <c r="D195" s="8" t="s">
        <v>132</v>
      </c>
      <c r="E195" s="8" t="s">
        <v>104</v>
      </c>
      <c r="F195" s="8" t="n">
        <v>20</v>
      </c>
    </row>
    <row r="196" customFormat="false" ht="15" hidden="false" customHeight="true" outlineLevel="0" collapsed="false">
      <c r="A196" s="8" t="s">
        <v>358</v>
      </c>
      <c r="B196" s="8" t="s">
        <v>364</v>
      </c>
      <c r="C196" s="8" t="s">
        <v>74</v>
      </c>
      <c r="D196" s="8" t="s">
        <v>125</v>
      </c>
      <c r="E196" s="8" t="s">
        <v>117</v>
      </c>
      <c r="F196" s="8" t="n">
        <v>25</v>
      </c>
    </row>
    <row r="197" customFormat="false" ht="15" hidden="false" customHeight="true" outlineLevel="0" collapsed="false">
      <c r="A197" s="8" t="s">
        <v>358</v>
      </c>
      <c r="B197" s="8" t="s">
        <v>365</v>
      </c>
      <c r="C197" s="8" t="s">
        <v>64</v>
      </c>
      <c r="D197" s="8" t="s">
        <v>176</v>
      </c>
      <c r="E197" s="8" t="s">
        <v>197</v>
      </c>
      <c r="F197" s="8" t="n">
        <v>20</v>
      </c>
    </row>
    <row r="198" customFormat="false" ht="15" hidden="false" customHeight="true" outlineLevel="0" collapsed="false">
      <c r="A198" s="8" t="s">
        <v>358</v>
      </c>
      <c r="B198" s="8" t="s">
        <v>366</v>
      </c>
      <c r="C198" s="8" t="s">
        <v>19</v>
      </c>
      <c r="D198" s="8" t="s">
        <v>132</v>
      </c>
      <c r="E198" s="8" t="s">
        <v>117</v>
      </c>
      <c r="F198" s="8" t="n">
        <v>25</v>
      </c>
    </row>
    <row r="199" customFormat="false" ht="15" hidden="false" customHeight="true" outlineLevel="0" collapsed="false">
      <c r="A199" s="8" t="s">
        <v>358</v>
      </c>
      <c r="B199" s="8" t="s">
        <v>367</v>
      </c>
      <c r="C199" s="8" t="s">
        <v>19</v>
      </c>
      <c r="D199" s="8" t="s">
        <v>186</v>
      </c>
      <c r="E199" s="8" t="s">
        <v>117</v>
      </c>
      <c r="F199" s="8" t="n">
        <v>25</v>
      </c>
    </row>
    <row r="200" customFormat="false" ht="15" hidden="false" customHeight="true" outlineLevel="0" collapsed="false">
      <c r="A200" s="8" t="s">
        <v>358</v>
      </c>
      <c r="B200" s="8" t="s">
        <v>368</v>
      </c>
      <c r="C200" s="8" t="s">
        <v>74</v>
      </c>
      <c r="D200" s="8" t="s">
        <v>149</v>
      </c>
      <c r="E200" s="8" t="s">
        <v>117</v>
      </c>
      <c r="F200" s="8" t="n">
        <v>25</v>
      </c>
    </row>
    <row r="201" customFormat="false" ht="15" hidden="false" customHeight="true" outlineLevel="0" collapsed="false">
      <c r="A201" s="8" t="s">
        <v>358</v>
      </c>
      <c r="B201" s="8" t="s">
        <v>369</v>
      </c>
      <c r="C201" s="8" t="s">
        <v>19</v>
      </c>
      <c r="D201" s="8" t="s">
        <v>149</v>
      </c>
      <c r="E201" s="8" t="s">
        <v>117</v>
      </c>
      <c r="F201" s="8" t="n">
        <v>25</v>
      </c>
    </row>
    <row r="202" customFormat="false" ht="15" hidden="false" customHeight="true" outlineLevel="0" collapsed="false">
      <c r="A202" s="8" t="s">
        <v>370</v>
      </c>
      <c r="B202" s="8" t="s">
        <v>371</v>
      </c>
      <c r="C202" s="8" t="s">
        <v>88</v>
      </c>
      <c r="D202" s="8" t="s">
        <v>372</v>
      </c>
      <c r="E202" s="8" t="s">
        <v>278</v>
      </c>
      <c r="F202" s="8" t="n">
        <v>50</v>
      </c>
    </row>
    <row r="203" customFormat="false" ht="15" hidden="false" customHeight="true" outlineLevel="0" collapsed="false">
      <c r="A203" s="8" t="s">
        <v>370</v>
      </c>
      <c r="B203" s="8" t="s">
        <v>373</v>
      </c>
      <c r="C203" s="8" t="s">
        <v>74</v>
      </c>
      <c r="D203" s="8" t="s">
        <v>109</v>
      </c>
      <c r="E203" s="8" t="s">
        <v>117</v>
      </c>
      <c r="F203" s="8" t="n">
        <v>25</v>
      </c>
    </row>
    <row r="204" customFormat="false" ht="15" hidden="false" customHeight="true" outlineLevel="0" collapsed="false">
      <c r="A204" s="8" t="s">
        <v>370</v>
      </c>
      <c r="B204" s="8" t="s">
        <v>374</v>
      </c>
      <c r="C204" s="8" t="s">
        <v>34</v>
      </c>
      <c r="D204" s="8" t="s">
        <v>210</v>
      </c>
      <c r="E204" s="8" t="s">
        <v>211</v>
      </c>
      <c r="F204" s="8" t="n">
        <v>50</v>
      </c>
    </row>
    <row r="205" customFormat="false" ht="15" hidden="false" customHeight="true" outlineLevel="0" collapsed="false">
      <c r="A205" s="8" t="s">
        <v>370</v>
      </c>
      <c r="B205" s="8" t="s">
        <v>375</v>
      </c>
      <c r="C205" s="8" t="s">
        <v>10</v>
      </c>
      <c r="D205" s="8" t="s">
        <v>134</v>
      </c>
      <c r="E205" s="8" t="s">
        <v>263</v>
      </c>
      <c r="F205" s="8" t="n">
        <v>50</v>
      </c>
    </row>
    <row r="206" customFormat="false" ht="15" hidden="false" customHeight="true" outlineLevel="0" collapsed="false">
      <c r="A206" s="8" t="s">
        <v>370</v>
      </c>
      <c r="B206" s="8" t="s">
        <v>376</v>
      </c>
      <c r="C206" s="8" t="s">
        <v>74</v>
      </c>
      <c r="D206" s="8" t="s">
        <v>127</v>
      </c>
      <c r="E206" s="8" t="s">
        <v>117</v>
      </c>
      <c r="F206" s="8" t="n">
        <v>25</v>
      </c>
    </row>
    <row r="207" customFormat="false" ht="15" hidden="false" customHeight="true" outlineLevel="0" collapsed="false">
      <c r="A207" s="8" t="s">
        <v>370</v>
      </c>
      <c r="B207" s="8" t="s">
        <v>377</v>
      </c>
      <c r="C207" s="8" t="s">
        <v>25</v>
      </c>
      <c r="D207" s="8" t="s">
        <v>149</v>
      </c>
      <c r="E207" s="8" t="s">
        <v>104</v>
      </c>
      <c r="F207" s="8" t="n">
        <v>20</v>
      </c>
    </row>
    <row r="208" customFormat="false" ht="15" hidden="false" customHeight="true" outlineLevel="0" collapsed="false">
      <c r="A208" s="8" t="s">
        <v>370</v>
      </c>
      <c r="B208" s="8" t="s">
        <v>378</v>
      </c>
      <c r="C208" s="8" t="s">
        <v>25</v>
      </c>
      <c r="D208" s="8" t="s">
        <v>109</v>
      </c>
      <c r="E208" s="8" t="s">
        <v>104</v>
      </c>
      <c r="F208" s="8" t="n">
        <v>20</v>
      </c>
    </row>
    <row r="209" customFormat="false" ht="15" hidden="false" customHeight="true" outlineLevel="0" collapsed="false">
      <c r="A209" s="8" t="s">
        <v>370</v>
      </c>
      <c r="B209" s="8" t="s">
        <v>379</v>
      </c>
      <c r="C209" s="8" t="s">
        <v>74</v>
      </c>
      <c r="D209" s="8" t="s">
        <v>132</v>
      </c>
      <c r="E209" s="8" t="s">
        <v>117</v>
      </c>
      <c r="F209" s="8" t="n">
        <v>25</v>
      </c>
    </row>
    <row r="210" customFormat="false" ht="15" hidden="false" customHeight="true" outlineLevel="0" collapsed="false">
      <c r="A210" s="8" t="s">
        <v>370</v>
      </c>
      <c r="B210" s="8" t="s">
        <v>380</v>
      </c>
      <c r="C210" s="8" t="s">
        <v>88</v>
      </c>
      <c r="D210" s="8" t="s">
        <v>372</v>
      </c>
      <c r="E210" s="8" t="s">
        <v>278</v>
      </c>
      <c r="F210" s="8" t="n">
        <v>50</v>
      </c>
    </row>
    <row r="211" customFormat="false" ht="15" hidden="false" customHeight="true" outlineLevel="0" collapsed="false">
      <c r="A211" s="8" t="s">
        <v>381</v>
      </c>
      <c r="B211" s="8" t="s">
        <v>382</v>
      </c>
      <c r="C211" s="8" t="s">
        <v>74</v>
      </c>
      <c r="D211" s="8" t="s">
        <v>186</v>
      </c>
      <c r="E211" s="8" t="s">
        <v>117</v>
      </c>
      <c r="F211" s="8" t="n">
        <v>25</v>
      </c>
    </row>
    <row r="212" customFormat="false" ht="15" hidden="false" customHeight="true" outlineLevel="0" collapsed="false">
      <c r="A212" s="8" t="s">
        <v>381</v>
      </c>
      <c r="B212" s="8" t="s">
        <v>383</v>
      </c>
      <c r="C212" s="8" t="s">
        <v>10</v>
      </c>
      <c r="D212" s="8" t="s">
        <v>134</v>
      </c>
      <c r="E212" s="8" t="s">
        <v>135</v>
      </c>
      <c r="F212" s="8" t="n">
        <v>50</v>
      </c>
    </row>
    <row r="213" customFormat="false" ht="15" hidden="false" customHeight="true" outlineLevel="0" collapsed="false">
      <c r="A213" s="8" t="s">
        <v>381</v>
      </c>
      <c r="B213" s="8" t="s">
        <v>384</v>
      </c>
      <c r="C213" s="8" t="s">
        <v>74</v>
      </c>
      <c r="D213" s="8" t="s">
        <v>385</v>
      </c>
      <c r="E213" s="8" t="s">
        <v>386</v>
      </c>
      <c r="F213" s="8" t="n">
        <v>50</v>
      </c>
    </row>
    <row r="214" customFormat="false" ht="15" hidden="false" customHeight="true" outlineLevel="0" collapsed="false">
      <c r="A214" s="8" t="s">
        <v>381</v>
      </c>
      <c r="B214" s="8" t="s">
        <v>387</v>
      </c>
      <c r="C214" s="8" t="s">
        <v>34</v>
      </c>
      <c r="D214" s="8" t="s">
        <v>385</v>
      </c>
      <c r="E214" s="8" t="s">
        <v>388</v>
      </c>
      <c r="F214" s="8" t="n">
        <v>50</v>
      </c>
    </row>
    <row r="215" customFormat="false" ht="15" hidden="false" customHeight="true" outlineLevel="0" collapsed="false">
      <c r="A215" s="8" t="s">
        <v>381</v>
      </c>
      <c r="B215" s="8" t="s">
        <v>389</v>
      </c>
      <c r="C215" s="8" t="s">
        <v>81</v>
      </c>
      <c r="D215" s="8" t="s">
        <v>119</v>
      </c>
      <c r="E215" s="8" t="s">
        <v>117</v>
      </c>
      <c r="F215" s="8" t="n">
        <v>25</v>
      </c>
    </row>
    <row r="216" customFormat="false" ht="15" hidden="false" customHeight="true" outlineLevel="0" collapsed="false">
      <c r="A216" s="8" t="s">
        <v>381</v>
      </c>
      <c r="B216" s="8" t="s">
        <v>390</v>
      </c>
      <c r="C216" s="8" t="s">
        <v>81</v>
      </c>
      <c r="D216" s="8" t="s">
        <v>186</v>
      </c>
      <c r="E216" s="8" t="s">
        <v>117</v>
      </c>
      <c r="F216" s="8" t="n">
        <v>25</v>
      </c>
    </row>
    <row r="217" customFormat="false" ht="15" hidden="false" customHeight="true" outlineLevel="0" collapsed="false">
      <c r="A217" s="8" t="s">
        <v>381</v>
      </c>
      <c r="B217" s="8" t="s">
        <v>391</v>
      </c>
      <c r="C217" s="8" t="s">
        <v>70</v>
      </c>
      <c r="D217" s="8" t="s">
        <v>130</v>
      </c>
      <c r="E217" s="8" t="s">
        <v>110</v>
      </c>
      <c r="F217" s="8" t="n">
        <v>20</v>
      </c>
    </row>
    <row r="218" customFormat="false" ht="15" hidden="false" customHeight="true" outlineLevel="0" collapsed="false">
      <c r="A218" s="8" t="s">
        <v>392</v>
      </c>
      <c r="B218" s="8" t="s">
        <v>393</v>
      </c>
      <c r="C218" s="8" t="s">
        <v>64</v>
      </c>
      <c r="D218" s="8" t="s">
        <v>176</v>
      </c>
      <c r="E218" s="8" t="s">
        <v>394</v>
      </c>
      <c r="F218" s="8" t="n">
        <v>20</v>
      </c>
    </row>
    <row r="219" customFormat="false" ht="15" hidden="false" customHeight="true" outlineLevel="0" collapsed="false">
      <c r="A219" s="8" t="s">
        <v>395</v>
      </c>
      <c r="B219" s="8" t="s">
        <v>396</v>
      </c>
      <c r="C219" s="8" t="s">
        <v>10</v>
      </c>
      <c r="D219" s="8" t="s">
        <v>134</v>
      </c>
      <c r="E219" s="8" t="s">
        <v>152</v>
      </c>
      <c r="F219" s="8" t="n">
        <v>50</v>
      </c>
    </row>
    <row r="220" customFormat="false" ht="15" hidden="false" customHeight="true" outlineLevel="0" collapsed="false">
      <c r="A220" s="8" t="s">
        <v>395</v>
      </c>
      <c r="B220" s="8" t="s">
        <v>397</v>
      </c>
      <c r="C220" s="8" t="s">
        <v>64</v>
      </c>
      <c r="D220" s="8" t="s">
        <v>192</v>
      </c>
      <c r="E220" s="8" t="s">
        <v>183</v>
      </c>
      <c r="F220" s="8" t="n">
        <v>20</v>
      </c>
    </row>
    <row r="221" customFormat="false" ht="15" hidden="false" customHeight="true" outlineLevel="0" collapsed="false">
      <c r="A221" s="8" t="s">
        <v>395</v>
      </c>
      <c r="B221" s="8" t="s">
        <v>398</v>
      </c>
      <c r="C221" s="8" t="s">
        <v>26</v>
      </c>
      <c r="D221" s="8" t="s">
        <v>125</v>
      </c>
      <c r="E221" s="8" t="s">
        <v>117</v>
      </c>
      <c r="F221" s="8" t="n">
        <v>25</v>
      </c>
    </row>
    <row r="222" customFormat="false" ht="15" hidden="false" customHeight="true" outlineLevel="0" collapsed="false">
      <c r="A222" s="8" t="s">
        <v>395</v>
      </c>
      <c r="B222" s="8" t="s">
        <v>399</v>
      </c>
      <c r="C222" s="8" t="s">
        <v>52</v>
      </c>
      <c r="D222" s="8" t="s">
        <v>161</v>
      </c>
      <c r="E222" s="8" t="s">
        <v>117</v>
      </c>
      <c r="F222" s="8" t="n">
        <v>25</v>
      </c>
    </row>
    <row r="223" customFormat="false" ht="15" hidden="false" customHeight="true" outlineLevel="0" collapsed="false">
      <c r="A223" s="8" t="s">
        <v>400</v>
      </c>
      <c r="B223" s="8" t="s">
        <v>401</v>
      </c>
      <c r="C223" s="8" t="s">
        <v>10</v>
      </c>
      <c r="D223" s="8" t="s">
        <v>402</v>
      </c>
      <c r="E223" s="8" t="s">
        <v>403</v>
      </c>
      <c r="F223" s="8" t="n">
        <v>0</v>
      </c>
    </row>
    <row r="224" customFormat="false" ht="15" hidden="false" customHeight="true" outlineLevel="0" collapsed="false">
      <c r="A224" s="8" t="s">
        <v>400</v>
      </c>
      <c r="B224" s="8" t="s">
        <v>404</v>
      </c>
      <c r="C224" s="8" t="s">
        <v>10</v>
      </c>
      <c r="D224" s="8" t="s">
        <v>405</v>
      </c>
      <c r="E224" s="8" t="s">
        <v>403</v>
      </c>
      <c r="F224" s="8" t="n">
        <v>0</v>
      </c>
    </row>
    <row r="225" customFormat="false" ht="15" hidden="false" customHeight="true" outlineLevel="0" collapsed="false">
      <c r="A225" s="8" t="s">
        <v>400</v>
      </c>
      <c r="B225" s="8" t="s">
        <v>406</v>
      </c>
      <c r="C225" s="8" t="s">
        <v>10</v>
      </c>
      <c r="D225" s="8" t="s">
        <v>407</v>
      </c>
      <c r="E225" s="8" t="s">
        <v>403</v>
      </c>
      <c r="F225" s="8" t="n">
        <v>0</v>
      </c>
    </row>
    <row r="226" customFormat="false" ht="15" hidden="false" customHeight="true" outlineLevel="0" collapsed="false">
      <c r="A226" s="8" t="s">
        <v>400</v>
      </c>
      <c r="B226" s="8" t="s">
        <v>408</v>
      </c>
      <c r="C226" s="8" t="s">
        <v>26</v>
      </c>
      <c r="D226" s="8" t="s">
        <v>127</v>
      </c>
      <c r="E226" s="8" t="s">
        <v>117</v>
      </c>
      <c r="F226" s="8" t="n">
        <v>25</v>
      </c>
    </row>
    <row r="227" customFormat="false" ht="15" hidden="false" customHeight="true" outlineLevel="0" collapsed="false">
      <c r="A227" s="8" t="s">
        <v>400</v>
      </c>
      <c r="B227" s="8" t="s">
        <v>409</v>
      </c>
      <c r="C227" s="8" t="s">
        <v>52</v>
      </c>
      <c r="D227" s="8" t="s">
        <v>303</v>
      </c>
      <c r="E227" s="8" t="s">
        <v>410</v>
      </c>
      <c r="F227" s="8" t="n">
        <v>50</v>
      </c>
    </row>
    <row r="228" customFormat="false" ht="15" hidden="false" customHeight="true" outlineLevel="0" collapsed="false">
      <c r="A228" s="8" t="s">
        <v>400</v>
      </c>
      <c r="B228" s="8" t="s">
        <v>411</v>
      </c>
      <c r="C228" s="8" t="s">
        <v>56</v>
      </c>
      <c r="D228" s="8" t="s">
        <v>303</v>
      </c>
      <c r="E228" s="8" t="s">
        <v>410</v>
      </c>
      <c r="F228" s="8" t="n">
        <v>50</v>
      </c>
    </row>
    <row r="229" customFormat="false" ht="15" hidden="false" customHeight="true" outlineLevel="0" collapsed="false">
      <c r="A229" s="8" t="s">
        <v>400</v>
      </c>
      <c r="B229" s="8" t="s">
        <v>412</v>
      </c>
      <c r="C229" s="8" t="s">
        <v>43</v>
      </c>
      <c r="D229" s="8" t="s">
        <v>112</v>
      </c>
      <c r="E229" s="8" t="s">
        <v>104</v>
      </c>
      <c r="F229" s="8" t="n">
        <v>50</v>
      </c>
    </row>
    <row r="230" customFormat="false" ht="15" hidden="false" customHeight="true" outlineLevel="0" collapsed="false">
      <c r="A230" s="8" t="s">
        <v>400</v>
      </c>
      <c r="B230" s="8" t="s">
        <v>413</v>
      </c>
      <c r="C230" s="8" t="s">
        <v>43</v>
      </c>
      <c r="D230" s="8" t="s">
        <v>149</v>
      </c>
      <c r="E230" s="8" t="s">
        <v>104</v>
      </c>
      <c r="F230" s="8" t="n">
        <v>20</v>
      </c>
    </row>
    <row r="231" customFormat="false" ht="15" hidden="false" customHeight="true" outlineLevel="0" collapsed="false">
      <c r="A231" s="8" t="s">
        <v>414</v>
      </c>
      <c r="B231" s="8" t="s">
        <v>415</v>
      </c>
      <c r="C231" s="8" t="s">
        <v>64</v>
      </c>
      <c r="D231" s="8" t="s">
        <v>303</v>
      </c>
      <c r="E231" s="8" t="s">
        <v>410</v>
      </c>
      <c r="F231" s="8" t="n">
        <v>50</v>
      </c>
    </row>
    <row r="232" customFormat="false" ht="15" hidden="false" customHeight="true" outlineLevel="0" collapsed="false">
      <c r="A232" s="8" t="s">
        <v>414</v>
      </c>
      <c r="B232" s="8" t="s">
        <v>416</v>
      </c>
      <c r="C232" s="8" t="s">
        <v>18</v>
      </c>
      <c r="D232" s="8" t="s">
        <v>417</v>
      </c>
      <c r="E232" s="8" t="s">
        <v>418</v>
      </c>
      <c r="F232" s="8" t="n">
        <v>50</v>
      </c>
    </row>
    <row r="233" customFormat="false" ht="15" hidden="false" customHeight="true" outlineLevel="0" collapsed="false">
      <c r="A233" s="8" t="s">
        <v>414</v>
      </c>
      <c r="B233" s="8" t="s">
        <v>419</v>
      </c>
      <c r="C233" s="8" t="s">
        <v>18</v>
      </c>
      <c r="D233" s="8" t="s">
        <v>420</v>
      </c>
      <c r="E233" s="8" t="s">
        <v>418</v>
      </c>
      <c r="F233" s="8" t="n">
        <v>50</v>
      </c>
    </row>
    <row r="234" customFormat="false" ht="15" hidden="false" customHeight="true" outlineLevel="0" collapsed="false">
      <c r="A234" s="8" t="s">
        <v>414</v>
      </c>
      <c r="B234" s="8" t="s">
        <v>421</v>
      </c>
      <c r="C234" s="8" t="s">
        <v>18</v>
      </c>
      <c r="D234" s="8" t="s">
        <v>422</v>
      </c>
      <c r="E234" s="8" t="s">
        <v>418</v>
      </c>
      <c r="F234" s="8" t="n">
        <v>50</v>
      </c>
    </row>
    <row r="235" customFormat="false" ht="15" hidden="false" customHeight="true" outlineLevel="0" collapsed="false">
      <c r="A235" s="8" t="s">
        <v>414</v>
      </c>
      <c r="B235" s="8" t="s">
        <v>423</v>
      </c>
      <c r="C235" s="8" t="s">
        <v>18</v>
      </c>
      <c r="D235" s="8" t="s">
        <v>424</v>
      </c>
      <c r="E235" s="8" t="s">
        <v>418</v>
      </c>
      <c r="F235" s="8" t="n">
        <v>50</v>
      </c>
    </row>
    <row r="236" customFormat="false" ht="15" hidden="false" customHeight="true" outlineLevel="0" collapsed="false">
      <c r="A236" s="8" t="s">
        <v>414</v>
      </c>
      <c r="B236" s="8" t="s">
        <v>425</v>
      </c>
      <c r="C236" s="8" t="s">
        <v>18</v>
      </c>
      <c r="D236" s="8" t="s">
        <v>207</v>
      </c>
      <c r="E236" s="8" t="s">
        <v>418</v>
      </c>
      <c r="F236" s="8" t="n">
        <v>50</v>
      </c>
    </row>
    <row r="237" customFormat="false" ht="15" hidden="false" customHeight="true" outlineLevel="0" collapsed="false">
      <c r="A237" s="8" t="s">
        <v>414</v>
      </c>
      <c r="B237" s="8" t="s">
        <v>426</v>
      </c>
      <c r="C237" s="8" t="s">
        <v>18</v>
      </c>
      <c r="D237" s="8" t="s">
        <v>250</v>
      </c>
      <c r="E237" s="8" t="s">
        <v>418</v>
      </c>
      <c r="F237" s="8" t="n">
        <v>50</v>
      </c>
    </row>
    <row r="238" customFormat="false" ht="15" hidden="false" customHeight="true" outlineLevel="0" collapsed="false">
      <c r="A238" s="8" t="s">
        <v>427</v>
      </c>
      <c r="B238" s="8" t="s">
        <v>428</v>
      </c>
      <c r="C238" s="8" t="s">
        <v>26</v>
      </c>
      <c r="D238" s="8" t="s">
        <v>123</v>
      </c>
      <c r="E238" s="8" t="s">
        <v>117</v>
      </c>
      <c r="F238" s="8" t="n">
        <v>25</v>
      </c>
    </row>
    <row r="239" customFormat="false" ht="15" hidden="false" customHeight="true" outlineLevel="0" collapsed="false"/>
    <row r="240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9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55"/>
    <col collapsed="false" customWidth="true" hidden="false" outlineLevel="0" max="2" min="2" style="1" width="23"/>
    <col collapsed="false" customWidth="true" hidden="false" outlineLevel="0" max="3" min="3" style="1" width="28"/>
  </cols>
  <sheetData>
    <row r="1" customFormat="false" ht="15" hidden="false" customHeight="true" outlineLevel="0" collapsed="false">
      <c r="A1" s="9" t="s">
        <v>429</v>
      </c>
      <c r="B1" s="4"/>
      <c r="C1" s="4"/>
    </row>
    <row r="2" customFormat="false" ht="15" hidden="false" customHeight="false" outlineLevel="0" collapsed="false">
      <c r="A2" s="4"/>
      <c r="B2" s="4"/>
      <c r="C2" s="4"/>
    </row>
    <row r="3" customFormat="false" ht="15" hidden="false" customHeight="true" outlineLevel="0" collapsed="false">
      <c r="A3" s="2" t="s">
        <v>430</v>
      </c>
      <c r="B3" s="2" t="s">
        <v>431</v>
      </c>
      <c r="C3" s="2" t="s">
        <v>432</v>
      </c>
    </row>
    <row r="4" customFormat="false" ht="15" hidden="false" customHeight="true" outlineLevel="0" collapsed="false">
      <c r="A4" s="3" t="s">
        <v>433</v>
      </c>
      <c r="B4" s="3" t="s">
        <v>434</v>
      </c>
      <c r="C4" s="3" t="s">
        <v>435</v>
      </c>
    </row>
    <row r="5" customFormat="false" ht="15" hidden="false" customHeight="true" outlineLevel="0" collapsed="false">
      <c r="A5" s="6" t="s">
        <v>433</v>
      </c>
      <c r="B5" s="6" t="s">
        <v>436</v>
      </c>
      <c r="C5" s="6" t="s">
        <v>435</v>
      </c>
    </row>
    <row r="6" customFormat="false" ht="15" hidden="false" customHeight="true" outlineLevel="0" collapsed="false">
      <c r="A6" s="3" t="s">
        <v>433</v>
      </c>
      <c r="B6" s="3" t="s">
        <v>437</v>
      </c>
      <c r="C6" s="3" t="s">
        <v>438</v>
      </c>
    </row>
    <row r="7" customFormat="false" ht="15" hidden="false" customHeight="true" outlineLevel="0" collapsed="false">
      <c r="A7" s="6" t="s">
        <v>433</v>
      </c>
      <c r="B7" s="6" t="s">
        <v>439</v>
      </c>
      <c r="C7" s="6" t="s">
        <v>440</v>
      </c>
    </row>
    <row r="8" customFormat="false" ht="15" hidden="false" customHeight="true" outlineLevel="0" collapsed="false">
      <c r="A8" s="3" t="s">
        <v>441</v>
      </c>
      <c r="B8" s="3" t="s">
        <v>436</v>
      </c>
      <c r="C8" s="3" t="s">
        <v>442</v>
      </c>
    </row>
    <row r="9" customFormat="false" ht="15" hidden="false" customHeight="true" outlineLevel="0" collapsed="false">
      <c r="A9" s="6" t="s">
        <v>441</v>
      </c>
      <c r="B9" s="6" t="s">
        <v>437</v>
      </c>
      <c r="C9" s="6" t="s">
        <v>438</v>
      </c>
    </row>
    <row r="10" customFormat="false" ht="15" hidden="false" customHeight="true" outlineLevel="0" collapsed="false">
      <c r="A10" s="3" t="s">
        <v>441</v>
      </c>
      <c r="B10" s="3" t="s">
        <v>439</v>
      </c>
      <c r="C10" s="3" t="s">
        <v>440</v>
      </c>
    </row>
    <row r="11" customFormat="false" ht="15" hidden="false" customHeight="true" outlineLevel="0" collapsed="false">
      <c r="A11" s="6" t="s">
        <v>441</v>
      </c>
      <c r="B11" s="6" t="s">
        <v>443</v>
      </c>
      <c r="C11" s="6" t="s">
        <v>444</v>
      </c>
    </row>
    <row r="12" customFormat="false" ht="15" hidden="false" customHeight="true" outlineLevel="0" collapsed="false">
      <c r="A12" s="3" t="s">
        <v>445</v>
      </c>
      <c r="B12" s="3" t="s">
        <v>436</v>
      </c>
      <c r="C12" s="3" t="s">
        <v>446</v>
      </c>
    </row>
    <row r="13" customFormat="false" ht="15" hidden="false" customHeight="true" outlineLevel="0" collapsed="false">
      <c r="A13" s="6" t="s">
        <v>445</v>
      </c>
      <c r="B13" s="6" t="s">
        <v>437</v>
      </c>
      <c r="C13" s="6" t="s">
        <v>447</v>
      </c>
    </row>
    <row r="14" customFormat="false" ht="15" hidden="false" customHeight="true" outlineLevel="0" collapsed="false">
      <c r="A14" s="3" t="s">
        <v>445</v>
      </c>
      <c r="B14" s="3" t="s">
        <v>439</v>
      </c>
      <c r="C14" s="3" t="s">
        <v>444</v>
      </c>
    </row>
    <row r="15" customFormat="false" ht="15" hidden="false" customHeight="true" outlineLevel="0" collapsed="false">
      <c r="A15" s="6" t="s">
        <v>445</v>
      </c>
      <c r="B15" s="6" t="s">
        <v>443</v>
      </c>
      <c r="C15" s="6" t="s">
        <v>448</v>
      </c>
    </row>
    <row r="16" customFormat="false" ht="15" hidden="false" customHeight="true" outlineLevel="0" collapsed="false">
      <c r="A16" s="3" t="s">
        <v>449</v>
      </c>
      <c r="B16" s="3" t="s">
        <v>436</v>
      </c>
      <c r="C16" s="3" t="s">
        <v>438</v>
      </c>
    </row>
    <row r="17" customFormat="false" ht="15" hidden="false" customHeight="true" outlineLevel="0" collapsed="false">
      <c r="A17" s="6" t="s">
        <v>449</v>
      </c>
      <c r="B17" s="6" t="s">
        <v>439</v>
      </c>
      <c r="C17" s="6" t="s">
        <v>446</v>
      </c>
    </row>
    <row r="18" customFormat="false" ht="15" hidden="false" customHeight="true" outlineLevel="0" collapsed="false">
      <c r="A18" s="3" t="s">
        <v>449</v>
      </c>
      <c r="B18" s="3" t="s">
        <v>443</v>
      </c>
      <c r="C18" s="3" t="s">
        <v>447</v>
      </c>
    </row>
    <row r="19" customFormat="false" ht="15" hidden="false" customHeight="true" outlineLevel="0" collapsed="false">
      <c r="A19" s="6" t="s">
        <v>450</v>
      </c>
      <c r="B19" s="6" t="s">
        <v>451</v>
      </c>
      <c r="C19" s="6" t="s">
        <v>444</v>
      </c>
    </row>
    <row r="20" customFormat="false" ht="15" hidden="false" customHeight="true" outlineLevel="0" collapsed="false">
      <c r="A20" s="3" t="s">
        <v>303</v>
      </c>
      <c r="B20" s="3" t="s">
        <v>452</v>
      </c>
      <c r="C20" s="3" t="s">
        <v>444</v>
      </c>
    </row>
    <row r="21" customFormat="false" ht="15" hidden="false" customHeight="true" outlineLevel="0" collapsed="false">
      <c r="A21" s="6" t="s">
        <v>453</v>
      </c>
      <c r="B21" s="6" t="s">
        <v>437</v>
      </c>
      <c r="C21" s="6" t="s">
        <v>442</v>
      </c>
    </row>
    <row r="22" customFormat="false" ht="15" hidden="false" customHeight="true" outlineLevel="0" collapsed="false">
      <c r="A22" s="3" t="s">
        <v>453</v>
      </c>
      <c r="B22" s="3" t="s">
        <v>439</v>
      </c>
      <c r="C22" s="3" t="s">
        <v>438</v>
      </c>
    </row>
    <row r="23" customFormat="false" ht="15" hidden="false" customHeight="true" outlineLevel="0" collapsed="false">
      <c r="A23" s="6" t="s">
        <v>420</v>
      </c>
      <c r="B23" s="6" t="s">
        <v>418</v>
      </c>
      <c r="C23" s="6" t="s">
        <v>444</v>
      </c>
    </row>
    <row r="24" customFormat="false" ht="15" hidden="false" customHeight="true" outlineLevel="0" collapsed="false">
      <c r="A24" s="8" t="s">
        <v>149</v>
      </c>
      <c r="B24" s="8" t="s">
        <v>454</v>
      </c>
      <c r="C24" s="8" t="s">
        <v>455</v>
      </c>
    </row>
    <row r="25" customFormat="false" ht="15" hidden="false" customHeight="true" outlineLevel="0" collapsed="false">
      <c r="A25" s="8" t="s">
        <v>123</v>
      </c>
      <c r="B25" s="8" t="s">
        <v>456</v>
      </c>
      <c r="C25" s="8" t="s">
        <v>457</v>
      </c>
    </row>
    <row r="26" customFormat="false" ht="15" hidden="false" customHeight="true" outlineLevel="0" collapsed="false">
      <c r="A26" s="8" t="s">
        <v>417</v>
      </c>
      <c r="B26" s="8" t="s">
        <v>418</v>
      </c>
      <c r="C26" s="8" t="s">
        <v>444</v>
      </c>
    </row>
    <row r="27" customFormat="false" ht="15" hidden="false" customHeight="true" outlineLevel="0" collapsed="false">
      <c r="A27" s="8" t="s">
        <v>114</v>
      </c>
      <c r="B27" s="8" t="s">
        <v>115</v>
      </c>
      <c r="C27" s="8" t="s">
        <v>444</v>
      </c>
    </row>
    <row r="28" customFormat="false" ht="15" hidden="false" customHeight="true" outlineLevel="0" collapsed="false">
      <c r="A28" s="8" t="s">
        <v>422</v>
      </c>
      <c r="B28" s="8" t="s">
        <v>418</v>
      </c>
      <c r="C28" s="8" t="s">
        <v>444</v>
      </c>
    </row>
    <row r="29" customFormat="false" ht="15" hidden="false" customHeight="true" outlineLevel="0" collapsed="false">
      <c r="A29" s="8" t="s">
        <v>100</v>
      </c>
      <c r="B29" s="8" t="s">
        <v>458</v>
      </c>
      <c r="C29" s="8" t="s">
        <v>459</v>
      </c>
    </row>
    <row r="30" customFormat="false" ht="15" hidden="false" customHeight="true" outlineLevel="0" collapsed="false">
      <c r="A30" s="8" t="s">
        <v>338</v>
      </c>
      <c r="B30" s="8" t="s">
        <v>339</v>
      </c>
      <c r="C30" s="8" t="s">
        <v>444</v>
      </c>
    </row>
    <row r="31" customFormat="false" ht="15" hidden="false" customHeight="true" outlineLevel="0" collapsed="false">
      <c r="A31" s="8" t="s">
        <v>119</v>
      </c>
      <c r="B31" s="8" t="s">
        <v>460</v>
      </c>
      <c r="C31" s="8" t="s">
        <v>440</v>
      </c>
    </row>
    <row r="32" customFormat="false" ht="15" hidden="false" customHeight="true" outlineLevel="0" collapsed="false">
      <c r="A32" s="8" t="s">
        <v>207</v>
      </c>
      <c r="B32" s="8" t="s">
        <v>461</v>
      </c>
      <c r="C32" s="8" t="s">
        <v>444</v>
      </c>
    </row>
    <row r="33" customFormat="false" ht="15" hidden="false" customHeight="true" outlineLevel="0" collapsed="false">
      <c r="A33" s="8" t="s">
        <v>127</v>
      </c>
      <c r="B33" s="8" t="s">
        <v>117</v>
      </c>
      <c r="C33" s="8" t="s">
        <v>440</v>
      </c>
    </row>
    <row r="34" customFormat="false" ht="15" hidden="false" customHeight="true" outlineLevel="0" collapsed="false">
      <c r="A34" s="8" t="s">
        <v>134</v>
      </c>
      <c r="B34" s="8" t="s">
        <v>462</v>
      </c>
      <c r="C34" s="8" t="s">
        <v>444</v>
      </c>
    </row>
    <row r="35" customFormat="false" ht="15" hidden="false" customHeight="true" outlineLevel="0" collapsed="false">
      <c r="A35" s="8" t="s">
        <v>424</v>
      </c>
      <c r="B35" s="8" t="s">
        <v>418</v>
      </c>
      <c r="C35" s="8" t="s">
        <v>444</v>
      </c>
    </row>
    <row r="36" customFormat="false" ht="15" hidden="false" customHeight="true" outlineLevel="0" collapsed="false">
      <c r="A36" s="8" t="s">
        <v>112</v>
      </c>
      <c r="B36" s="8" t="s">
        <v>454</v>
      </c>
      <c r="C36" s="8" t="s">
        <v>455</v>
      </c>
    </row>
    <row r="37" customFormat="false" ht="15" hidden="false" customHeight="true" outlineLevel="0" collapsed="false">
      <c r="A37" s="8" t="s">
        <v>210</v>
      </c>
      <c r="B37" s="8" t="s">
        <v>463</v>
      </c>
      <c r="C37" s="8" t="s">
        <v>464</v>
      </c>
    </row>
    <row r="38" customFormat="false" ht="15" hidden="false" customHeight="true" outlineLevel="0" collapsed="false">
      <c r="A38" s="8" t="s">
        <v>250</v>
      </c>
      <c r="B38" s="8" t="s">
        <v>465</v>
      </c>
      <c r="C38" s="8" t="s">
        <v>444</v>
      </c>
    </row>
    <row r="39" customFormat="false" ht="15" hidden="false" customHeight="true" outlineLevel="0" collapsed="false">
      <c r="A39" s="8" t="s">
        <v>132</v>
      </c>
      <c r="B39" s="8" t="s">
        <v>454</v>
      </c>
      <c r="C39" s="8" t="s">
        <v>455</v>
      </c>
    </row>
    <row r="40" customFormat="false" ht="15" hidden="false" customHeight="true" outlineLevel="0" collapsed="false">
      <c r="A40" s="8" t="s">
        <v>372</v>
      </c>
      <c r="B40" s="8" t="s">
        <v>278</v>
      </c>
      <c r="C40" s="8" t="s">
        <v>444</v>
      </c>
    </row>
    <row r="41" customFormat="false" ht="15" hidden="false" customHeight="true" outlineLevel="0" collapsed="false">
      <c r="A41" s="8" t="s">
        <v>130</v>
      </c>
      <c r="B41" s="8" t="s">
        <v>466</v>
      </c>
      <c r="C41" s="8" t="s">
        <v>459</v>
      </c>
    </row>
    <row r="42" customFormat="false" ht="15" hidden="false" customHeight="true" outlineLevel="0" collapsed="false">
      <c r="A42" s="8" t="s">
        <v>186</v>
      </c>
      <c r="B42" s="8" t="s">
        <v>460</v>
      </c>
      <c r="C42" s="8" t="s">
        <v>457</v>
      </c>
    </row>
    <row r="43" customFormat="false" ht="15" hidden="false" customHeight="true" outlineLevel="0" collapsed="false">
      <c r="A43" s="8" t="s">
        <v>125</v>
      </c>
      <c r="B43" s="8" t="s">
        <v>458</v>
      </c>
      <c r="C43" s="8" t="s">
        <v>440</v>
      </c>
    </row>
    <row r="44" customFormat="false" ht="15" hidden="false" customHeight="true" outlineLevel="0" collapsed="false">
      <c r="A44" s="8" t="s">
        <v>385</v>
      </c>
      <c r="B44" s="8" t="s">
        <v>386</v>
      </c>
      <c r="C44" s="8" t="s">
        <v>444</v>
      </c>
    </row>
    <row r="45" customFormat="false" ht="15" hidden="false" customHeight="true" outlineLevel="0" collapsed="false">
      <c r="A45" s="8" t="s">
        <v>277</v>
      </c>
      <c r="B45" s="8" t="s">
        <v>278</v>
      </c>
      <c r="C45" s="8" t="s">
        <v>444</v>
      </c>
    </row>
    <row r="46" customFormat="false" ht="15" hidden="false" customHeight="true" outlineLevel="0" collapsed="false">
      <c r="A46" s="8" t="s">
        <v>106</v>
      </c>
      <c r="B46" s="8" t="s">
        <v>467</v>
      </c>
      <c r="C46" s="8" t="s">
        <v>444</v>
      </c>
    </row>
    <row r="47" customFormat="false" ht="15" hidden="false" customHeight="true" outlineLevel="0" collapsed="false">
      <c r="A47" s="8" t="s">
        <v>109</v>
      </c>
      <c r="B47" s="8" t="s">
        <v>456</v>
      </c>
      <c r="C47" s="8" t="s">
        <v>457</v>
      </c>
    </row>
    <row r="48" customFormat="false" ht="15" hidden="false" customHeight="true" outlineLevel="0" collapsed="false">
      <c r="A48" s="8" t="s">
        <v>271</v>
      </c>
      <c r="B48" s="8" t="s">
        <v>468</v>
      </c>
      <c r="C48" s="8" t="s">
        <v>464</v>
      </c>
    </row>
    <row r="49" customFormat="false" ht="15" hidden="false" customHeight="true" outlineLevel="0" collapsed="false">
      <c r="A49" s="8" t="s">
        <v>469</v>
      </c>
      <c r="B49" s="8" t="s">
        <v>470</v>
      </c>
      <c r="C49" s="8" t="s">
        <v>444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67"/>
    <col collapsed="false" customWidth="true" hidden="false" outlineLevel="0" max="2" min="2" style="1" width="92"/>
    <col collapsed="false" customWidth="true" hidden="false" outlineLevel="0" max="5" min="3" style="1" width="48"/>
  </cols>
  <sheetData>
    <row r="1" customFormat="false" ht="15" hidden="false" customHeight="true" outlineLevel="0" collapsed="false">
      <c r="A1" s="9" t="s">
        <v>471</v>
      </c>
      <c r="B1" s="4"/>
      <c r="C1" s="4"/>
      <c r="D1" s="4"/>
      <c r="E1" s="4"/>
    </row>
    <row r="2" customFormat="false" ht="15" hidden="false" customHeight="false" outlineLevel="0" collapsed="false">
      <c r="A2" s="4"/>
      <c r="B2" s="4"/>
      <c r="C2" s="4"/>
      <c r="D2" s="4"/>
      <c r="E2" s="4"/>
    </row>
    <row r="3" customFormat="false" ht="15" hidden="false" customHeight="true" outlineLevel="0" collapsed="false">
      <c r="A3" s="2" t="s">
        <v>472</v>
      </c>
      <c r="B3" s="2" t="s">
        <v>1</v>
      </c>
      <c r="C3" s="2" t="s">
        <v>2</v>
      </c>
      <c r="D3" s="2" t="s">
        <v>6</v>
      </c>
      <c r="E3" s="2" t="s">
        <v>473</v>
      </c>
    </row>
    <row r="4" customFormat="false" ht="15" hidden="false" customHeight="true" outlineLevel="0" collapsed="false">
      <c r="A4" s="3" t="s">
        <v>474</v>
      </c>
      <c r="B4" s="3" t="str">
        <f aca="false">INDEX(Truhen_Tracker!B:B, MATCH(LARGE(Truhen_Tracker!I:I, 1), Truhen_Tracker!I:I, 0))</f>
        <v>LegatusLabienus</v>
      </c>
      <c r="C4" s="3" t="str">
        <f aca="false">VLOOKUP(B4, Truhen_Tracker!B:C, 2, FALSE())</f>
        <v>Anführer</v>
      </c>
      <c r="D4" s="5" t="n">
        <f aca="false">VLOOKUP(B4, Truhen_Tracker!B:G, 6, FALSE())</f>
        <v>995</v>
      </c>
      <c r="E4" s="10" t="e">
        <f aca="false">VLOOKUP(B4, Truhen_Tracker!B:I, 9, FALSE())</f>
        <v>#VALUE!</v>
      </c>
    </row>
    <row r="5" customFormat="false" ht="15" hidden="false" customHeight="true" outlineLevel="0" collapsed="false">
      <c r="A5" s="3" t="s">
        <v>475</v>
      </c>
      <c r="B5" s="3" t="str">
        <f aca="false">INDEX(Truhen_Tracker!B:B, MATCH(LARGE(Truhen_Tracker!I:I, 2), Truhen_Tracker!I:I, 0))</f>
        <v>WYSIWYG</v>
      </c>
      <c r="C5" s="3" t="str">
        <f aca="false">VLOOKUP(B5, Truhen_Tracker!B:C, 2, FALSE())</f>
        <v>Vorgesetzter</v>
      </c>
      <c r="D5" s="5" t="n">
        <f aca="false">VLOOKUP(B5, Truhen_Tracker!B:G, 6, FALSE())</f>
        <v>700</v>
      </c>
      <c r="E5" s="10" t="e">
        <f aca="false">VLOOKUP(B5, Truhen_Tracker!B:I, 9, FALSE())</f>
        <v>#VALUE!</v>
      </c>
    </row>
    <row r="6" customFormat="false" ht="15" hidden="false" customHeight="true" outlineLevel="0" collapsed="false">
      <c r="A6" s="3" t="s">
        <v>476</v>
      </c>
      <c r="B6" s="3" t="str">
        <f aca="false">INDEX(Truhen_Tracker!B:B, MATCH(LARGE(Truhen_Tracker!I:I, 3), Truhen_Tracker!I:I, 0))</f>
        <v>LedZep2</v>
      </c>
      <c r="C6" s="3" t="str">
        <f aca="false">VLOOKUP(B6, Truhen_Tracker!B:C, 2, FALSE())</f>
        <v>Vorgesetzter</v>
      </c>
      <c r="D6" s="5" t="n">
        <f aca="false">VLOOKUP(B6, Truhen_Tracker!B:G, 6, FALSE())</f>
        <v>500</v>
      </c>
      <c r="E6" s="10" t="e">
        <f aca="false">VLOOKUP(B6, Truhen_Tracker!B:I, 9, FALSE())</f>
        <v>#VALUE!</v>
      </c>
    </row>
    <row r="7" customFormat="false" ht="15" hidden="false" customHeight="true" outlineLevel="0" collapsed="false">
      <c r="A7" s="3" t="s">
        <v>477</v>
      </c>
      <c r="B7" s="3" t="str">
        <f aca="false">INDEX(Truhen_Tracker!B:B, MATCH(LARGE(Truhen_Tracker!I:I, 4), Truhen_Tracker!I:I, 0))</f>
        <v>Manador II</v>
      </c>
      <c r="C7" s="3" t="str">
        <f aca="false">VLOOKUP(B7, Truhen_Tracker!B:C, 2, FALSE())</f>
        <v>Veteran</v>
      </c>
      <c r="D7" s="5" t="n">
        <f aca="false">VLOOKUP(B7, Truhen_Tracker!B:G, 6, FALSE())</f>
        <v>480</v>
      </c>
      <c r="E7" s="10" t="e">
        <f aca="false">VLOOKUP(B7, Truhen_Tracker!B:I, 9, FALSE())</f>
        <v>#VALUE!</v>
      </c>
    </row>
    <row r="8" customFormat="false" ht="15" hidden="false" customHeight="true" outlineLevel="0" collapsed="false">
      <c r="A8" s="3" t="s">
        <v>478</v>
      </c>
      <c r="B8" s="3" t="str">
        <f aca="false">INDEX(Truhen_Tracker!B:B, MATCH(LARGE(Truhen_Tracker!I:I, 5), Truhen_Tracker!I:I, 0))</f>
        <v>invisible</v>
      </c>
      <c r="C8" s="3" t="str">
        <f aca="false">VLOOKUP(B8, Truhen_Tracker!B:C, 2, FALSE())</f>
        <v>Veteran</v>
      </c>
      <c r="D8" s="5" t="n">
        <f aca="false">VLOOKUP(B8, Truhen_Tracker!B:G, 6, FALSE())</f>
        <v>455</v>
      </c>
      <c r="E8" s="10" t="e">
        <f aca="false">VLOOKUP(B8, Truhen_Tracker!B:I, 9, FALSE())</f>
        <v>#VALUE!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24"/>
    <col collapsed="false" customWidth="true" hidden="false" outlineLevel="0" max="3" min="3" style="1" width="18"/>
    <col collapsed="false" customWidth="true" hidden="false" outlineLevel="0" max="4" min="4" style="1" width="20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479</v>
      </c>
    </row>
    <row r="2" customFormat="false" ht="15" hidden="false" customHeight="false" outlineLevel="0" collapsed="false">
      <c r="A2" s="3" t="n">
        <v>1</v>
      </c>
      <c r="B2" s="3" t="s">
        <v>10</v>
      </c>
      <c r="C2" s="3" t="s">
        <v>11</v>
      </c>
      <c r="D2" s="3" t="s">
        <v>480</v>
      </c>
    </row>
    <row r="3" customFormat="false" ht="15" hidden="false" customHeight="true" outlineLevel="0" collapsed="false">
      <c r="A3" s="6" t="n">
        <v>2</v>
      </c>
      <c r="B3" s="6" t="s">
        <v>14</v>
      </c>
      <c r="C3" s="6" t="s">
        <v>15</v>
      </c>
      <c r="D3" s="6" t="s">
        <v>480</v>
      </c>
    </row>
    <row r="4" customFormat="false" ht="15" hidden="false" customHeight="true" outlineLevel="0" collapsed="false">
      <c r="A4" s="3" t="n">
        <v>3</v>
      </c>
      <c r="B4" s="3" t="s">
        <v>16</v>
      </c>
      <c r="C4" s="3" t="s">
        <v>15</v>
      </c>
      <c r="D4" s="3" t="s">
        <v>480</v>
      </c>
    </row>
    <row r="5" customFormat="false" ht="15" hidden="false" customHeight="true" outlineLevel="0" collapsed="false">
      <c r="A5" s="6" t="n">
        <v>4</v>
      </c>
      <c r="B5" s="6" t="s">
        <v>17</v>
      </c>
      <c r="C5" s="6" t="s">
        <v>15</v>
      </c>
      <c r="D5" s="6" t="s">
        <v>480</v>
      </c>
    </row>
    <row r="6" customFormat="false" ht="15" hidden="false" customHeight="true" outlineLevel="0" collapsed="false">
      <c r="A6" s="3" t="n">
        <v>5</v>
      </c>
      <c r="B6" s="3" t="s">
        <v>18</v>
      </c>
      <c r="C6" s="3" t="s">
        <v>15</v>
      </c>
      <c r="D6" s="3" t="s">
        <v>480</v>
      </c>
    </row>
    <row r="7" customFormat="false" ht="15" hidden="false" customHeight="true" outlineLevel="0" collapsed="false">
      <c r="A7" s="6" t="n">
        <v>6</v>
      </c>
      <c r="B7" s="6" t="s">
        <v>19</v>
      </c>
      <c r="C7" s="6" t="s">
        <v>15</v>
      </c>
      <c r="D7" s="6" t="s">
        <v>480</v>
      </c>
    </row>
    <row r="8" customFormat="false" ht="15" hidden="false" customHeight="true" outlineLevel="0" collapsed="false">
      <c r="A8" s="3" t="n">
        <v>7</v>
      </c>
      <c r="B8" s="3" t="s">
        <v>91</v>
      </c>
      <c r="C8" s="3" t="s">
        <v>15</v>
      </c>
      <c r="D8" s="3" t="s">
        <v>480</v>
      </c>
    </row>
    <row r="9" customFormat="false" ht="15" hidden="false" customHeight="true" outlineLevel="0" collapsed="false">
      <c r="A9" s="6" t="n">
        <v>8</v>
      </c>
      <c r="B9" s="6" t="s">
        <v>20</v>
      </c>
      <c r="C9" s="6" t="s">
        <v>15</v>
      </c>
      <c r="D9" s="6" t="s">
        <v>480</v>
      </c>
    </row>
    <row r="10" customFormat="false" ht="15" hidden="false" customHeight="true" outlineLevel="0" collapsed="false">
      <c r="A10" s="3" t="n">
        <v>9</v>
      </c>
      <c r="B10" s="3" t="s">
        <v>21</v>
      </c>
      <c r="C10" s="3" t="s">
        <v>22</v>
      </c>
      <c r="D10" s="3" t="s">
        <v>480</v>
      </c>
    </row>
    <row r="11" customFormat="false" ht="15" hidden="false" customHeight="true" outlineLevel="0" collapsed="false">
      <c r="A11" s="6" t="n">
        <v>10</v>
      </c>
      <c r="B11" s="6" t="s">
        <v>23</v>
      </c>
      <c r="C11" s="6" t="s">
        <v>22</v>
      </c>
      <c r="D11" s="6" t="s">
        <v>480</v>
      </c>
    </row>
    <row r="12" customFormat="false" ht="15" hidden="false" customHeight="true" outlineLevel="0" collapsed="false">
      <c r="A12" s="3" t="n">
        <v>11</v>
      </c>
      <c r="B12" s="3" t="s">
        <v>24</v>
      </c>
      <c r="C12" s="3" t="s">
        <v>22</v>
      </c>
      <c r="D12" s="3" t="s">
        <v>480</v>
      </c>
    </row>
    <row r="13" customFormat="false" ht="15" hidden="false" customHeight="true" outlineLevel="0" collapsed="false">
      <c r="A13" s="6" t="n">
        <v>12</v>
      </c>
      <c r="B13" s="6" t="s">
        <v>25</v>
      </c>
      <c r="C13" s="6" t="s">
        <v>22</v>
      </c>
      <c r="D13" s="6" t="s">
        <v>480</v>
      </c>
    </row>
    <row r="14" customFormat="false" ht="15" hidden="false" customHeight="true" outlineLevel="0" collapsed="false">
      <c r="A14" s="3" t="n">
        <v>13</v>
      </c>
      <c r="B14" s="3" t="s">
        <v>26</v>
      </c>
      <c r="C14" s="3" t="s">
        <v>22</v>
      </c>
      <c r="D14" s="3" t="s">
        <v>480</v>
      </c>
    </row>
    <row r="15" customFormat="false" ht="15" hidden="false" customHeight="true" outlineLevel="0" collapsed="false">
      <c r="A15" s="6" t="n">
        <v>14</v>
      </c>
      <c r="B15" s="6" t="s">
        <v>27</v>
      </c>
      <c r="C15" s="6" t="s">
        <v>22</v>
      </c>
      <c r="D15" s="6" t="s">
        <v>480</v>
      </c>
    </row>
    <row r="16" customFormat="false" ht="15" hidden="false" customHeight="true" outlineLevel="0" collapsed="false">
      <c r="A16" s="3" t="n">
        <v>15</v>
      </c>
      <c r="B16" s="3" t="s">
        <v>28</v>
      </c>
      <c r="C16" s="3" t="s">
        <v>22</v>
      </c>
      <c r="D16" s="3" t="s">
        <v>480</v>
      </c>
    </row>
    <row r="17" customFormat="false" ht="15" hidden="false" customHeight="true" outlineLevel="0" collapsed="false">
      <c r="A17" s="6" t="n">
        <v>16</v>
      </c>
      <c r="B17" s="6" t="s">
        <v>29</v>
      </c>
      <c r="C17" s="6" t="s">
        <v>30</v>
      </c>
      <c r="D17" s="6" t="s">
        <v>480</v>
      </c>
    </row>
    <row r="18" customFormat="false" ht="15" hidden="false" customHeight="true" outlineLevel="0" collapsed="false">
      <c r="A18" s="3" t="n">
        <v>17</v>
      </c>
      <c r="B18" s="3" t="s">
        <v>31</v>
      </c>
      <c r="C18" s="3" t="s">
        <v>30</v>
      </c>
      <c r="D18" s="3" t="s">
        <v>480</v>
      </c>
    </row>
    <row r="19" customFormat="false" ht="15" hidden="false" customHeight="true" outlineLevel="0" collapsed="false">
      <c r="A19" s="6" t="n">
        <v>18</v>
      </c>
      <c r="B19" s="6" t="s">
        <v>32</v>
      </c>
      <c r="C19" s="6" t="s">
        <v>30</v>
      </c>
      <c r="D19" s="6" t="s">
        <v>480</v>
      </c>
    </row>
    <row r="20" customFormat="false" ht="15" hidden="false" customHeight="true" outlineLevel="0" collapsed="false">
      <c r="A20" s="3" t="n">
        <v>19</v>
      </c>
      <c r="B20" s="3" t="s">
        <v>33</v>
      </c>
      <c r="C20" s="3" t="s">
        <v>30</v>
      </c>
      <c r="D20" s="3" t="s">
        <v>480</v>
      </c>
    </row>
    <row r="21" customFormat="false" ht="15" hidden="false" customHeight="true" outlineLevel="0" collapsed="false">
      <c r="A21" s="6" t="n">
        <v>20</v>
      </c>
      <c r="B21" s="6" t="s">
        <v>34</v>
      </c>
      <c r="C21" s="6" t="s">
        <v>30</v>
      </c>
      <c r="D21" s="6" t="s">
        <v>480</v>
      </c>
    </row>
    <row r="22" customFormat="false" ht="15" hidden="false" customHeight="true" outlineLevel="0" collapsed="false">
      <c r="A22" s="3" t="n">
        <v>21</v>
      </c>
      <c r="B22" s="3" t="s">
        <v>35</v>
      </c>
      <c r="C22" s="3" t="s">
        <v>30</v>
      </c>
      <c r="D22" s="3" t="s">
        <v>480</v>
      </c>
    </row>
    <row r="23" customFormat="false" ht="15" hidden="false" customHeight="true" outlineLevel="0" collapsed="false">
      <c r="A23" s="6" t="n">
        <v>22</v>
      </c>
      <c r="B23" s="6" t="s">
        <v>36</v>
      </c>
      <c r="C23" s="6" t="s">
        <v>30</v>
      </c>
      <c r="D23" s="6" t="s">
        <v>480</v>
      </c>
    </row>
    <row r="24" customFormat="false" ht="15" hidden="false" customHeight="true" outlineLevel="0" collapsed="false">
      <c r="A24" s="3" t="n">
        <v>23</v>
      </c>
      <c r="B24" s="3" t="s">
        <v>37</v>
      </c>
      <c r="C24" s="3" t="s">
        <v>30</v>
      </c>
      <c r="D24" s="3" t="s">
        <v>480</v>
      </c>
    </row>
    <row r="25" customFormat="false" ht="15" hidden="false" customHeight="true" outlineLevel="0" collapsed="false">
      <c r="A25" s="6" t="n">
        <v>24</v>
      </c>
      <c r="B25" s="6" t="s">
        <v>38</v>
      </c>
      <c r="C25" s="6" t="s">
        <v>30</v>
      </c>
      <c r="D25" s="6" t="s">
        <v>480</v>
      </c>
    </row>
    <row r="26" customFormat="false" ht="15" hidden="false" customHeight="true" outlineLevel="0" collapsed="false">
      <c r="A26" s="3" t="n">
        <v>25</v>
      </c>
      <c r="B26" s="3" t="s">
        <v>39</v>
      </c>
      <c r="C26" s="3" t="s">
        <v>30</v>
      </c>
      <c r="D26" s="3" t="s">
        <v>480</v>
      </c>
    </row>
    <row r="27" customFormat="false" ht="15" hidden="false" customHeight="true" outlineLevel="0" collapsed="false">
      <c r="A27" s="6" t="n">
        <v>26</v>
      </c>
      <c r="B27" s="6" t="s">
        <v>40</v>
      </c>
      <c r="C27" s="6" t="s">
        <v>30</v>
      </c>
      <c r="D27" s="6" t="s">
        <v>480</v>
      </c>
    </row>
    <row r="28" customFormat="false" ht="15" hidden="false" customHeight="true" outlineLevel="0" collapsed="false">
      <c r="A28" s="3" t="n">
        <v>27</v>
      </c>
      <c r="B28" s="3" t="s">
        <v>41</v>
      </c>
      <c r="C28" s="3" t="s">
        <v>30</v>
      </c>
      <c r="D28" s="3" t="s">
        <v>480</v>
      </c>
    </row>
    <row r="29" customFormat="false" ht="15" hidden="false" customHeight="true" outlineLevel="0" collapsed="false">
      <c r="A29" s="6" t="n">
        <v>28</v>
      </c>
      <c r="B29" s="6" t="s">
        <v>42</v>
      </c>
      <c r="C29" s="6" t="s">
        <v>30</v>
      </c>
      <c r="D29" s="6" t="s">
        <v>480</v>
      </c>
    </row>
    <row r="30" customFormat="false" ht="15" hidden="false" customHeight="true" outlineLevel="0" collapsed="false">
      <c r="A30" s="3" t="n">
        <v>29</v>
      </c>
      <c r="B30" s="3" t="s">
        <v>43</v>
      </c>
      <c r="C30" s="3" t="s">
        <v>30</v>
      </c>
      <c r="D30" s="3" t="s">
        <v>480</v>
      </c>
    </row>
    <row r="31" customFormat="false" ht="15" hidden="false" customHeight="true" outlineLevel="0" collapsed="false">
      <c r="A31" s="6" t="n">
        <v>30</v>
      </c>
      <c r="B31" s="6" t="s">
        <v>44</v>
      </c>
      <c r="C31" s="6" t="s">
        <v>30</v>
      </c>
      <c r="D31" s="6" t="s">
        <v>480</v>
      </c>
    </row>
    <row r="32" customFormat="false" ht="15" hidden="false" customHeight="true" outlineLevel="0" collapsed="false">
      <c r="A32" s="3" t="n">
        <v>31</v>
      </c>
      <c r="B32" s="3" t="s">
        <v>45</v>
      </c>
      <c r="C32" s="3" t="s">
        <v>30</v>
      </c>
      <c r="D32" s="3" t="s">
        <v>480</v>
      </c>
    </row>
    <row r="33" customFormat="false" ht="15" hidden="false" customHeight="true" outlineLevel="0" collapsed="false">
      <c r="A33" s="6" t="n">
        <v>32</v>
      </c>
      <c r="B33" s="6" t="s">
        <v>46</v>
      </c>
      <c r="C33" s="6" t="s">
        <v>30</v>
      </c>
      <c r="D33" s="6" t="s">
        <v>480</v>
      </c>
    </row>
    <row r="34" customFormat="false" ht="15" hidden="false" customHeight="true" outlineLevel="0" collapsed="false">
      <c r="A34" s="3" t="n">
        <v>33</v>
      </c>
      <c r="B34" s="3" t="s">
        <v>47</v>
      </c>
      <c r="C34" s="3" t="s">
        <v>30</v>
      </c>
      <c r="D34" s="3" t="s">
        <v>480</v>
      </c>
    </row>
    <row r="35" customFormat="false" ht="15" hidden="false" customHeight="true" outlineLevel="0" collapsed="false">
      <c r="A35" s="6" t="n">
        <v>34</v>
      </c>
      <c r="B35" s="6" t="s">
        <v>48</v>
      </c>
      <c r="C35" s="6" t="s">
        <v>30</v>
      </c>
      <c r="D35" s="6" t="s">
        <v>480</v>
      </c>
    </row>
    <row r="36" customFormat="false" ht="15" hidden="false" customHeight="true" outlineLevel="0" collapsed="false">
      <c r="A36" s="3" t="n">
        <v>35</v>
      </c>
      <c r="B36" s="3" t="s">
        <v>49</v>
      </c>
      <c r="C36" s="3" t="s">
        <v>30</v>
      </c>
      <c r="D36" s="3" t="s">
        <v>480</v>
      </c>
    </row>
    <row r="37" customFormat="false" ht="15" hidden="false" customHeight="true" outlineLevel="0" collapsed="false">
      <c r="A37" s="6" t="n">
        <v>36</v>
      </c>
      <c r="B37" s="6" t="s">
        <v>50</v>
      </c>
      <c r="C37" s="6" t="s">
        <v>30</v>
      </c>
      <c r="D37" s="6" t="s">
        <v>480</v>
      </c>
    </row>
    <row r="38" customFormat="false" ht="15" hidden="false" customHeight="true" outlineLevel="0" collapsed="false">
      <c r="A38" s="3" t="n">
        <v>37</v>
      </c>
      <c r="B38" s="3" t="s">
        <v>51</v>
      </c>
      <c r="C38" s="3" t="s">
        <v>30</v>
      </c>
      <c r="D38" s="3" t="s">
        <v>480</v>
      </c>
    </row>
    <row r="39" customFormat="false" ht="15" hidden="false" customHeight="true" outlineLevel="0" collapsed="false">
      <c r="A39" s="6" t="n">
        <v>38</v>
      </c>
      <c r="B39" s="6" t="s">
        <v>52</v>
      </c>
      <c r="C39" s="6" t="s">
        <v>30</v>
      </c>
      <c r="D39" s="6" t="s">
        <v>480</v>
      </c>
    </row>
    <row r="40" customFormat="false" ht="15" hidden="false" customHeight="true" outlineLevel="0" collapsed="false">
      <c r="A40" s="3" t="n">
        <v>39</v>
      </c>
      <c r="B40" s="3" t="s">
        <v>53</v>
      </c>
      <c r="C40" s="3" t="s">
        <v>30</v>
      </c>
      <c r="D40" s="3" t="s">
        <v>480</v>
      </c>
    </row>
    <row r="41" customFormat="false" ht="15" hidden="false" customHeight="true" outlineLevel="0" collapsed="false">
      <c r="A41" s="6" t="n">
        <v>40</v>
      </c>
      <c r="B41" s="6" t="s">
        <v>54</v>
      </c>
      <c r="C41" s="6" t="s">
        <v>30</v>
      </c>
      <c r="D41" s="6" t="s">
        <v>480</v>
      </c>
    </row>
    <row r="42" customFormat="false" ht="15" hidden="false" customHeight="true" outlineLevel="0" collapsed="false">
      <c r="A42" s="3" t="n">
        <v>41</v>
      </c>
      <c r="B42" s="3" t="s">
        <v>55</v>
      </c>
      <c r="C42" s="3" t="s">
        <v>30</v>
      </c>
      <c r="D42" s="3" t="s">
        <v>480</v>
      </c>
    </row>
    <row r="43" customFormat="false" ht="15" hidden="false" customHeight="true" outlineLevel="0" collapsed="false">
      <c r="A43" s="6" t="n">
        <v>42</v>
      </c>
      <c r="B43" s="6" t="s">
        <v>56</v>
      </c>
      <c r="C43" s="6" t="s">
        <v>30</v>
      </c>
      <c r="D43" s="6" t="s">
        <v>480</v>
      </c>
    </row>
    <row r="44" customFormat="false" ht="15" hidden="false" customHeight="true" outlineLevel="0" collapsed="false">
      <c r="A44" s="3" t="n">
        <v>43</v>
      </c>
      <c r="B44" s="3" t="s">
        <v>57</v>
      </c>
      <c r="C44" s="3" t="s">
        <v>30</v>
      </c>
      <c r="D44" s="3" t="s">
        <v>480</v>
      </c>
    </row>
    <row r="45" customFormat="false" ht="15" hidden="false" customHeight="true" outlineLevel="0" collapsed="false">
      <c r="A45" s="6" t="n">
        <v>44</v>
      </c>
      <c r="B45" s="6" t="s">
        <v>58</v>
      </c>
      <c r="C45" s="6" t="s">
        <v>30</v>
      </c>
      <c r="D45" s="6" t="s">
        <v>480</v>
      </c>
    </row>
    <row r="46" customFormat="false" ht="15" hidden="false" customHeight="true" outlineLevel="0" collapsed="false">
      <c r="A46" s="3" t="n">
        <v>45</v>
      </c>
      <c r="B46" s="3" t="s">
        <v>59</v>
      </c>
      <c r="C46" s="3" t="s">
        <v>30</v>
      </c>
      <c r="D46" s="3" t="s">
        <v>480</v>
      </c>
    </row>
    <row r="47" customFormat="false" ht="15" hidden="false" customHeight="true" outlineLevel="0" collapsed="false">
      <c r="A47" s="6" t="n">
        <v>46</v>
      </c>
      <c r="B47" s="6" t="s">
        <v>60</v>
      </c>
      <c r="C47" s="6" t="s">
        <v>30</v>
      </c>
      <c r="D47" s="6" t="s">
        <v>480</v>
      </c>
    </row>
    <row r="48" customFormat="false" ht="15" hidden="false" customHeight="true" outlineLevel="0" collapsed="false">
      <c r="A48" s="3" t="n">
        <v>47</v>
      </c>
      <c r="B48" s="3" t="s">
        <v>61</v>
      </c>
      <c r="C48" s="3" t="s">
        <v>30</v>
      </c>
      <c r="D48" s="3" t="s">
        <v>480</v>
      </c>
    </row>
    <row r="49" customFormat="false" ht="15" hidden="false" customHeight="true" outlineLevel="0" collapsed="false">
      <c r="A49" s="6" t="n">
        <v>48</v>
      </c>
      <c r="B49" s="6" t="s">
        <v>62</v>
      </c>
      <c r="C49" s="6" t="s">
        <v>30</v>
      </c>
      <c r="D49" s="6" t="s">
        <v>480</v>
      </c>
    </row>
    <row r="50" customFormat="false" ht="15" hidden="false" customHeight="true" outlineLevel="0" collapsed="false">
      <c r="A50" s="3" t="n">
        <v>49</v>
      </c>
      <c r="B50" s="3" t="s">
        <v>63</v>
      </c>
      <c r="C50" s="3" t="s">
        <v>30</v>
      </c>
      <c r="D50" s="3" t="s">
        <v>480</v>
      </c>
    </row>
    <row r="51" customFormat="false" ht="15" hidden="false" customHeight="true" outlineLevel="0" collapsed="false">
      <c r="A51" s="6" t="n">
        <v>50</v>
      </c>
      <c r="B51" s="6" t="s">
        <v>64</v>
      </c>
      <c r="C51" s="6" t="s">
        <v>30</v>
      </c>
      <c r="D51" s="6" t="s">
        <v>480</v>
      </c>
    </row>
    <row r="52" customFormat="false" ht="15" hidden="false" customHeight="true" outlineLevel="0" collapsed="false">
      <c r="A52" s="3" t="n">
        <v>51</v>
      </c>
      <c r="B52" s="3" t="s">
        <v>65</v>
      </c>
      <c r="C52" s="3" t="s">
        <v>30</v>
      </c>
      <c r="D52" s="3" t="s">
        <v>480</v>
      </c>
    </row>
    <row r="53" customFormat="false" ht="15" hidden="false" customHeight="true" outlineLevel="0" collapsed="false">
      <c r="A53" s="6" t="n">
        <v>52</v>
      </c>
      <c r="B53" s="6" t="s">
        <v>66</v>
      </c>
      <c r="C53" s="6" t="s">
        <v>30</v>
      </c>
      <c r="D53" s="6" t="s">
        <v>480</v>
      </c>
    </row>
    <row r="54" customFormat="false" ht="15" hidden="false" customHeight="true" outlineLevel="0" collapsed="false">
      <c r="A54" s="3" t="n">
        <v>53</v>
      </c>
      <c r="B54" s="3" t="s">
        <v>67</v>
      </c>
      <c r="C54" s="3" t="s">
        <v>30</v>
      </c>
      <c r="D54" s="3" t="s">
        <v>480</v>
      </c>
    </row>
    <row r="55" customFormat="false" ht="15" hidden="false" customHeight="true" outlineLevel="0" collapsed="false">
      <c r="A55" s="6" t="n">
        <v>54</v>
      </c>
      <c r="B55" s="6" t="s">
        <v>68</v>
      </c>
      <c r="C55" s="6" t="s">
        <v>30</v>
      </c>
      <c r="D55" s="6" t="s">
        <v>480</v>
      </c>
    </row>
    <row r="56" customFormat="false" ht="15" hidden="false" customHeight="true" outlineLevel="0" collapsed="false">
      <c r="A56" s="3" t="n">
        <v>55</v>
      </c>
      <c r="B56" s="3" t="s">
        <v>69</v>
      </c>
      <c r="C56" s="3" t="s">
        <v>30</v>
      </c>
      <c r="D56" s="3" t="s">
        <v>480</v>
      </c>
    </row>
    <row r="57" customFormat="false" ht="15" hidden="false" customHeight="true" outlineLevel="0" collapsed="false">
      <c r="A57" s="6" t="n">
        <v>56</v>
      </c>
      <c r="B57" s="6" t="s">
        <v>70</v>
      </c>
      <c r="C57" s="6" t="s">
        <v>30</v>
      </c>
      <c r="D57" s="6" t="s">
        <v>480</v>
      </c>
    </row>
    <row r="58" customFormat="false" ht="15" hidden="false" customHeight="true" outlineLevel="0" collapsed="false">
      <c r="A58" s="3" t="n">
        <v>57</v>
      </c>
      <c r="B58" s="3" t="s">
        <v>72</v>
      </c>
      <c r="C58" s="3" t="s">
        <v>30</v>
      </c>
      <c r="D58" s="3" t="s">
        <v>480</v>
      </c>
    </row>
    <row r="59" customFormat="false" ht="15" hidden="false" customHeight="true" outlineLevel="0" collapsed="false">
      <c r="A59" s="6" t="n">
        <v>58</v>
      </c>
      <c r="B59" s="6" t="s">
        <v>73</v>
      </c>
      <c r="C59" s="6" t="s">
        <v>30</v>
      </c>
      <c r="D59" s="6" t="s">
        <v>480</v>
      </c>
    </row>
    <row r="60" customFormat="false" ht="15" hidden="false" customHeight="true" outlineLevel="0" collapsed="false">
      <c r="A60" s="3" t="n">
        <v>59</v>
      </c>
      <c r="B60" s="3" t="s">
        <v>74</v>
      </c>
      <c r="C60" s="3" t="s">
        <v>30</v>
      </c>
      <c r="D60" s="3" t="s">
        <v>480</v>
      </c>
    </row>
    <row r="61" customFormat="false" ht="15" hidden="false" customHeight="true" outlineLevel="0" collapsed="false">
      <c r="A61" s="6" t="n">
        <v>60</v>
      </c>
      <c r="B61" s="6" t="s">
        <v>92</v>
      </c>
      <c r="C61" s="6" t="s">
        <v>30</v>
      </c>
      <c r="D61" s="6" t="s">
        <v>480</v>
      </c>
    </row>
    <row r="62" customFormat="false" ht="15" hidden="false" customHeight="true" outlineLevel="0" collapsed="false">
      <c r="A62" s="3" t="n">
        <v>61</v>
      </c>
      <c r="B62" s="3" t="s">
        <v>75</v>
      </c>
      <c r="C62" s="3" t="s">
        <v>30</v>
      </c>
      <c r="D62" s="3" t="s">
        <v>480</v>
      </c>
    </row>
    <row r="63" customFormat="false" ht="15" hidden="false" customHeight="true" outlineLevel="0" collapsed="false">
      <c r="A63" s="6" t="n">
        <v>62</v>
      </c>
      <c r="B63" s="6" t="s">
        <v>76</v>
      </c>
      <c r="C63" s="6" t="s">
        <v>30</v>
      </c>
      <c r="D63" s="6" t="s">
        <v>480</v>
      </c>
    </row>
    <row r="64" customFormat="false" ht="15" hidden="false" customHeight="true" outlineLevel="0" collapsed="false">
      <c r="A64" s="3" t="n">
        <v>63</v>
      </c>
      <c r="B64" s="3" t="s">
        <v>77</v>
      </c>
      <c r="C64" s="3" t="s">
        <v>30</v>
      </c>
      <c r="D64" s="3" t="s">
        <v>480</v>
      </c>
    </row>
    <row r="65" customFormat="false" ht="15" hidden="false" customHeight="true" outlineLevel="0" collapsed="false">
      <c r="A65" s="3" t="n">
        <v>64</v>
      </c>
      <c r="B65" s="3" t="s">
        <v>78</v>
      </c>
      <c r="C65" s="3" t="s">
        <v>30</v>
      </c>
      <c r="D65" s="3" t="s">
        <v>480</v>
      </c>
    </row>
    <row r="66" customFormat="false" ht="15" hidden="false" customHeight="true" outlineLevel="0" collapsed="false">
      <c r="A66" s="6" t="n">
        <v>65</v>
      </c>
      <c r="B66" s="6" t="s">
        <v>79</v>
      </c>
      <c r="C66" s="6" t="s">
        <v>30</v>
      </c>
      <c r="D66" s="6" t="s">
        <v>480</v>
      </c>
    </row>
    <row r="67" customFormat="false" ht="15" hidden="false" customHeight="true" outlineLevel="0" collapsed="false">
      <c r="A67" s="8" t="n">
        <v>66</v>
      </c>
      <c r="B67" s="8" t="s">
        <v>80</v>
      </c>
      <c r="C67" s="8" t="s">
        <v>30</v>
      </c>
      <c r="D67" s="8" t="s">
        <v>480</v>
      </c>
    </row>
    <row r="68" customFormat="false" ht="15" hidden="false" customHeight="true" outlineLevel="0" collapsed="false">
      <c r="A68" s="3" t="n">
        <v>67</v>
      </c>
      <c r="B68" s="3" t="s">
        <v>81</v>
      </c>
      <c r="C68" s="3" t="s">
        <v>82</v>
      </c>
      <c r="D68" s="3" t="s">
        <v>480</v>
      </c>
    </row>
    <row r="69" customFormat="false" ht="15" hidden="false" customHeight="true" outlineLevel="0" collapsed="false">
      <c r="A69" s="6" t="n">
        <v>68</v>
      </c>
      <c r="B69" s="6" t="s">
        <v>83</v>
      </c>
      <c r="C69" s="6" t="s">
        <v>82</v>
      </c>
      <c r="D69" s="6" t="s">
        <v>480</v>
      </c>
    </row>
    <row r="70" customFormat="false" ht="15" hidden="false" customHeight="true" outlineLevel="0" collapsed="false">
      <c r="A70" s="3" t="n">
        <v>69</v>
      </c>
      <c r="B70" s="3" t="s">
        <v>84</v>
      </c>
      <c r="C70" s="3" t="s">
        <v>82</v>
      </c>
      <c r="D70" s="3" t="s">
        <v>480</v>
      </c>
    </row>
    <row r="71" customFormat="false" ht="15" hidden="false" customHeight="true" outlineLevel="0" collapsed="false">
      <c r="A71" s="3" t="n">
        <v>70</v>
      </c>
      <c r="B71" s="3" t="s">
        <v>85</v>
      </c>
      <c r="C71" s="3" t="s">
        <v>82</v>
      </c>
      <c r="D71" s="3" t="s">
        <v>480</v>
      </c>
    </row>
    <row r="72" customFormat="false" ht="15" hidden="false" customHeight="true" outlineLevel="0" collapsed="false">
      <c r="A72" s="6" t="n">
        <v>71</v>
      </c>
      <c r="B72" s="6" t="s">
        <v>86</v>
      </c>
      <c r="C72" s="6" t="s">
        <v>82</v>
      </c>
      <c r="D72" s="6" t="s">
        <v>480</v>
      </c>
    </row>
    <row r="73" customFormat="false" ht="15" hidden="false" customHeight="true" outlineLevel="0" collapsed="false">
      <c r="A73" s="3" t="n">
        <v>72</v>
      </c>
      <c r="B73" s="3" t="s">
        <v>87</v>
      </c>
      <c r="C73" s="3" t="s">
        <v>82</v>
      </c>
      <c r="D73" s="3" t="s">
        <v>480</v>
      </c>
    </row>
    <row r="74" customFormat="false" ht="15" hidden="false" customHeight="true" outlineLevel="0" collapsed="false">
      <c r="A74" s="6" t="n">
        <v>73</v>
      </c>
      <c r="B74" s="6" t="s">
        <v>88</v>
      </c>
      <c r="C74" s="6" t="s">
        <v>82</v>
      </c>
      <c r="D74" s="6" t="s">
        <v>480</v>
      </c>
    </row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2026-10-23T01:07:38Z</dcterms:created>
  <dc:creator>openpyxl</dc:creator>
  <dc:description/>
  <dc:language>de-DE</dc:language>
  <cp:lastModifiedBy/>
  <dcterms:modified xsi:type="dcterms:W3CDTF">2026-10-24T14:03:45Z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