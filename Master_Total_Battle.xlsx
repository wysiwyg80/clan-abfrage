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Truhen_Tracker" sheetId="1" state="visible" r:id="rId1"/>
    <sheet xmlns:r="http://schemas.openxmlformats.org/officeDocument/2006/relationships" name="Turmbau_Tracker" sheetId="2" state="visible" r:id="rId2"/>
    <sheet xmlns:r="http://schemas.openxmlformats.org/officeDocument/2006/relationships" name="Erfasste_Truhen_Feed" sheetId="3" state="visible" r:id="rId3"/>
    <sheet xmlns:r="http://schemas.openxmlformats.org/officeDocument/2006/relationships" name="Regelwerk_Punktwerte" sheetId="4" state="visible" r:id="rId4"/>
    <sheet xmlns:r="http://schemas.openxmlformats.org/officeDocument/2006/relationships" name="Top_5_Truhen_Könige" sheetId="5" state="visible" r:id="rId5"/>
    <sheet xmlns:r="http://schemas.openxmlformats.org/officeDocument/2006/relationships" name="Silber_Bank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8"/>
      <sz val="16"/>
    </font>
    <font>
      <name val="Calibri"/>
      <charset val="1"/>
      <family val="0"/>
      <i val="1"/>
      <color rgb="FF595959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1"/>
    </font>
    <font>
      <name val="Calibri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5F9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center"/>
    </xf>
    <xf numFmtId="3" fontId="7" fillId="0" borderId="1" applyAlignment="1" pivotButton="0" quotePrefix="0" xfId="0">
      <alignment horizontal="left" vertical="bottom"/>
    </xf>
    <xf numFmtId="0" fontId="7" fillId="3" borderId="1" applyAlignment="1" pivotButton="0" quotePrefix="0" xfId="0">
      <alignment horizontal="right" vertical="bottom"/>
    </xf>
    <xf numFmtId="0" fontId="7" fillId="3" borderId="1" applyAlignment="1" pivotButton="0" quotePrefix="0" xfId="0">
      <alignment horizontal="left" vertical="bottom"/>
    </xf>
    <xf numFmtId="3" fontId="7" fillId="3" borderId="1" applyAlignment="1" pivotButton="0" quotePrefix="0" xfId="0">
      <alignment horizontal="left" vertical="bottom"/>
    </xf>
    <xf numFmtId="3" fontId="7" fillId="0" borderId="1" applyAlignment="1" pivotButton="0" quotePrefix="0" xfId="0">
      <alignment horizontal="right" vertical="bottom"/>
    </xf>
    <xf numFmtId="3" fontId="7" fillId="3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right" vertical="bottom"/>
    </xf>
    <xf numFmtId="3" fontId="8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6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center"/>
    </xf>
    <xf numFmtId="3" fontId="7" fillId="0" borderId="1" applyAlignment="1" pivotButton="0" quotePrefix="0" xfId="0">
      <alignment horizontal="left" vertical="bottom"/>
    </xf>
    <xf numFmtId="0" fontId="7" fillId="3" borderId="1" applyAlignment="1" pivotButton="0" quotePrefix="0" xfId="0">
      <alignment horizontal="right" vertical="bottom"/>
    </xf>
    <xf numFmtId="0" fontId="7" fillId="3" borderId="1" applyAlignment="1" pivotButton="0" quotePrefix="0" xfId="0">
      <alignment horizontal="left" vertical="bottom"/>
    </xf>
    <xf numFmtId="3" fontId="7" fillId="3" borderId="1" applyAlignment="1" pivotButton="0" quotePrefix="0" xfId="0">
      <alignment horizontal="left" vertical="bottom"/>
    </xf>
    <xf numFmtId="3" fontId="7" fillId="0" borderId="1" applyAlignment="1" pivotButton="0" quotePrefix="0" xfId="0">
      <alignment horizontal="right" vertical="bottom"/>
    </xf>
    <xf numFmtId="3" fontId="7" fillId="3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right" vertical="bottom"/>
    </xf>
    <xf numFmtId="3" fontId="8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72"/>
  <sheetViews>
    <sheetView showFormulas="0" showGridLines="1" showRowColHeaders="1" showZeros="1" rightToLeft="0" tabSelected="0" showOutlineSymbols="1" defaultGridColor="1" view="normal" topLeftCell="E1" colorId="64" zoomScale="100" zoomScaleNormal="100" zoomScalePageLayoutView="100" workbookViewId="0">
      <selection pane="topLeft" activeCell="G5" activeCellId="0" sqref="G5"/>
    </sheetView>
  </sheetViews>
  <sheetFormatPr baseColWidth="8" defaultColWidth="8.54296875" defaultRowHeight="15" zeroHeight="0" outlineLevelRow="0"/>
  <cols>
    <col width="75" customWidth="1" style="17" min="1" max="1"/>
    <col width="24" customWidth="1" style="17" min="2" max="2"/>
    <col width="18" customWidth="1" style="17" min="3" max="5"/>
    <col width="105" customWidth="1" style="17" min="6" max="6"/>
    <col width="69" customWidth="1" style="17" min="7" max="7"/>
    <col width="50" customWidth="1" style="17" min="8" max="8"/>
    <col width="19" customWidth="1" style="17" min="9" max="9"/>
    <col width="33" customWidth="1" style="17" min="10" max="10"/>
  </cols>
  <sheetData>
    <row r="1" ht="15" customHeight="1" s="18">
      <c r="A1" s="21" t="inlineStr">
        <is>
          <t>ID</t>
        </is>
      </c>
      <c r="B1" s="21" t="inlineStr">
        <is>
          <t>Spielername</t>
        </is>
      </c>
      <c r="C1" s="21" t="inlineStr">
        <is>
          <t>Rang</t>
        </is>
      </c>
      <c r="D1" s="21" t="inlineStr">
        <is>
          <t>Startdatum</t>
        </is>
      </c>
      <c r="E1" s="21" t="inlineStr">
        <is>
          <t>Unter_100M</t>
        </is>
      </c>
      <c r="F1" s="21" t="inlineStr">
        <is>
          <t>Ziel_Quote</t>
        </is>
      </c>
      <c r="G1" s="21" t="inlineStr">
        <is>
          <t>Truhen_Punkte</t>
        </is>
      </c>
      <c r="H1" s="21" t="inlineStr">
        <is>
          <t>Turmbau_Punkte</t>
        </is>
      </c>
      <c r="I1" s="21" t="inlineStr">
        <is>
          <t>Gesamt_Punkte</t>
        </is>
      </c>
      <c r="J1" s="21" t="inlineStr">
        <is>
          <t>Quote_Erreicht</t>
        </is>
      </c>
    </row>
    <row r="2" ht="15" customHeight="1" s="18">
      <c r="A2" s="23" t="n">
        <v>1</v>
      </c>
      <c r="B2" s="23" t="inlineStr">
        <is>
          <t>LegatusLabienus</t>
        </is>
      </c>
      <c r="C2" s="23" t="inlineStr">
        <is>
          <t>Anführer</t>
        </is>
      </c>
      <c r="D2" s="34" t="inlineStr">
        <is>
          <t>22.10.2026</t>
        </is>
      </c>
      <c r="E2" s="23" t="inlineStr">
        <is>
          <t>Nein</t>
        </is>
      </c>
      <c r="F2" s="25">
        <f>IF(E2="Ja", 12500, 15000) * MAX(0, MIN(1, (28 - MAX(0, DATE(2026,10,22) - DATEVALUE(D2))) / 28))</f>
        <v/>
      </c>
      <c r="G2" s="25">
        <f>SUMIF(Erfasste_Truhen_Feed!C:C, B2, Erfasste_Truhen_Feed!F:F)</f>
        <v/>
      </c>
      <c r="H2" s="25">
        <f>IFERROR(VLOOKUP(B2, Turmbau_Tracker!B:E, 4, FALSE), 0)</f>
        <v/>
      </c>
      <c r="I2" s="25">
        <f>G2+H2</f>
        <v/>
      </c>
      <c r="J2" s="23">
        <f>IF(I2&gt;=F2, "Ja", "Nein")</f>
        <v/>
      </c>
    </row>
    <row r="3">
      <c r="A3" s="27" t="n">
        <v>2</v>
      </c>
      <c r="B3" s="27" t="inlineStr">
        <is>
          <t>man of war</t>
        </is>
      </c>
      <c r="C3" s="27" t="inlineStr">
        <is>
          <t>Vorgesetzter</t>
        </is>
      </c>
      <c r="D3" s="34" t="inlineStr">
        <is>
          <t>22.10.2026</t>
        </is>
      </c>
      <c r="E3" s="27" t="inlineStr">
        <is>
          <t>Nein</t>
        </is>
      </c>
      <c r="F3" s="28">
        <f>IF(E3="Ja", 12500, 15000) * MAX(0, MIN(1, (28 - MAX(0, DATE(2026,10,22) - DATEVALUE(D3))) / 28))</f>
        <v/>
      </c>
      <c r="G3" s="28">
        <f>SUMIF(Erfasste_Truhen_Feed!C:C, B3, Erfasste_Truhen_Feed!F:F)</f>
        <v/>
      </c>
      <c r="H3" s="28">
        <f>IFERROR(VLOOKUP(B3, Turmbau_Tracker!B:E, 4, FALSE), 0)</f>
        <v/>
      </c>
      <c r="I3" s="28">
        <f>G3+H3</f>
        <v/>
      </c>
      <c r="J3" s="27">
        <f>IF(I3&gt;=F3, "Ja", "Nein")</f>
        <v/>
      </c>
    </row>
    <row r="4" ht="15" customHeight="1" s="18">
      <c r="A4" s="23" t="n">
        <v>3</v>
      </c>
      <c r="B4" s="23" t="inlineStr">
        <is>
          <t>Miss Dire</t>
        </is>
      </c>
      <c r="C4" s="23" t="inlineStr">
        <is>
          <t>Vorgesetzter</t>
        </is>
      </c>
      <c r="D4" s="34" t="inlineStr">
        <is>
          <t>22.10.2026</t>
        </is>
      </c>
      <c r="E4" s="23" t="inlineStr">
        <is>
          <t>Nein</t>
        </is>
      </c>
      <c r="F4" s="25">
        <f>IF(E4="Ja", 12500, 15000) * MAX(0, MIN(1, (28 - MAX(0, DATE(2026,10,22) - DATEVALUE(D4))) / 28))</f>
        <v/>
      </c>
      <c r="G4" s="25">
        <f>SUMIF(Erfasste_Truhen_Feed!C:C, B4, Erfasste_Truhen_Feed!F:F)</f>
        <v/>
      </c>
      <c r="H4" s="25">
        <f>IFERROR(VLOOKUP(B4, Turmbau_Tracker!B:E, 4, FALSE), 0)</f>
        <v/>
      </c>
      <c r="I4" s="25">
        <f>G4+H4</f>
        <v/>
      </c>
      <c r="J4" s="23">
        <f>IF(I4&gt;=F4, "Ja", "Nein")</f>
        <v/>
      </c>
    </row>
    <row r="5" ht="15" customHeight="1" s="18">
      <c r="A5" s="27" t="n">
        <v>4</v>
      </c>
      <c r="B5" s="27" t="inlineStr">
        <is>
          <t>WYSIWYG</t>
        </is>
      </c>
      <c r="C5" s="27" t="inlineStr">
        <is>
          <t>Vorgesetzter</t>
        </is>
      </c>
      <c r="D5" s="34" t="inlineStr">
        <is>
          <t>22.10.2026</t>
        </is>
      </c>
      <c r="E5" s="27" t="inlineStr">
        <is>
          <t>Nein</t>
        </is>
      </c>
      <c r="F5" s="28">
        <f>IF(E5="Ja", 12500, 15000) * MAX(0, MIN(1, (28 - MAX(0, DATE(2026,10,22) - DATEVALUE(D5))) / 28))</f>
        <v/>
      </c>
      <c r="G5" s="28">
        <f>SUMIF(Erfasste_Truhen_Feed!C:C, B5, Erfasste_Truhen_Feed!F:F)</f>
        <v/>
      </c>
      <c r="H5" s="28">
        <f>IFERROR(VLOOKUP(B5, Turmbau_Tracker!B:E, 4, FALSE), 0)</f>
        <v/>
      </c>
      <c r="I5" s="28">
        <f>G5+H5</f>
        <v/>
      </c>
      <c r="J5" s="27">
        <f>IF(I5&gt;=F5, "Ja", "Nein")</f>
        <v/>
      </c>
    </row>
    <row r="6" ht="15" customHeight="1" s="18">
      <c r="A6" s="23" t="n">
        <v>5</v>
      </c>
      <c r="B6" s="23" t="inlineStr">
        <is>
          <t>LedZep2</t>
        </is>
      </c>
      <c r="C6" s="23" t="inlineStr">
        <is>
          <t>Vorgesetzter</t>
        </is>
      </c>
      <c r="D6" s="34" t="inlineStr">
        <is>
          <t>22.10.2026</t>
        </is>
      </c>
      <c r="E6" s="23" t="inlineStr">
        <is>
          <t>Nein</t>
        </is>
      </c>
      <c r="F6" s="25">
        <f>IF(E6="Ja", 12500, 15000) * MAX(0, MIN(1, (28 - MAX(0, DATE(2026,10,22) - DATEVALUE(D6))) / 28))</f>
        <v/>
      </c>
      <c r="G6" s="25">
        <f>SUMIF(Erfasste_Truhen_Feed!C:C, B6, Erfasste_Truhen_Feed!F:F)</f>
        <v/>
      </c>
      <c r="H6" s="25">
        <f>IFERROR(VLOOKUP(B6, Turmbau_Tracker!B:E, 4, FALSE), 0)</f>
        <v/>
      </c>
      <c r="I6" s="25">
        <f>G6+H6</f>
        <v/>
      </c>
      <c r="J6" s="23">
        <f>IF(I6&gt;=F6, "Ja", "Nein")</f>
        <v/>
      </c>
    </row>
    <row r="7" ht="15" customHeight="1" s="18">
      <c r="A7" s="27" t="n">
        <v>6</v>
      </c>
      <c r="B7" s="27" t="inlineStr">
        <is>
          <t>Frederico Freitas</t>
        </is>
      </c>
      <c r="C7" s="27" t="inlineStr">
        <is>
          <t>Vorgesetzter</t>
        </is>
      </c>
      <c r="D7" s="34" t="inlineStr">
        <is>
          <t>22.10.2026</t>
        </is>
      </c>
      <c r="E7" s="27" t="inlineStr">
        <is>
          <t>Nein</t>
        </is>
      </c>
      <c r="F7" s="28">
        <f>IF(E7="Ja", 12500, 15000) * MAX(0, MIN(1, (28 - MAX(0, DATE(2026,10,22) - DATEVALUE(D7))) / 28))</f>
        <v/>
      </c>
      <c r="G7" s="28">
        <f>SUMIF(Erfasste_Truhen_Feed!C:C, B7, Erfasste_Truhen_Feed!F:F)</f>
        <v/>
      </c>
      <c r="H7" s="28">
        <f>IFERROR(VLOOKUP(B7, Turmbau_Tracker!B:E, 4, FALSE), 0)</f>
        <v/>
      </c>
      <c r="I7" s="28">
        <f>G7+H7</f>
        <v/>
      </c>
      <c r="J7" s="27">
        <f>IF(I7&gt;=F7, "Ja", "Nein")</f>
        <v/>
      </c>
    </row>
    <row r="8" ht="15" customHeight="1" s="18">
      <c r="A8" s="27" t="n">
        <v>7</v>
      </c>
      <c r="B8" s="27" t="inlineStr">
        <is>
          <t>kikito</t>
        </is>
      </c>
      <c r="C8" s="27" t="inlineStr">
        <is>
          <t>Vorgesetzter</t>
        </is>
      </c>
      <c r="D8" s="34" t="inlineStr">
        <is>
          <t>22.10.2026</t>
        </is>
      </c>
      <c r="E8" s="27" t="inlineStr">
        <is>
          <t>Nein</t>
        </is>
      </c>
      <c r="F8" s="28">
        <f>IF(E8="Ja", 12500, 15000) * MAX(0, MIN(1, (28 - MAX(0, DATE(2026,10,22) - DATEVALUE(D8))) / 28))</f>
        <v/>
      </c>
      <c r="G8" s="28">
        <f>SUMIF(Erfasste_Truhen_Feed!C:C, B8, Erfasste_Truhen_Feed!F:F)</f>
        <v/>
      </c>
      <c r="H8" s="28">
        <f>IFERROR(VLOOKUP(B8, Turmbau_Tracker!B:E, 4, FALSE), 0)</f>
        <v/>
      </c>
      <c r="I8" s="28">
        <f>G8+H8</f>
        <v/>
      </c>
      <c r="J8" s="27">
        <f>IF(I8&gt;=F8, "Ja", "Nein")</f>
        <v/>
      </c>
    </row>
    <row r="9" ht="15" customHeight="1" s="18">
      <c r="A9" s="23" t="n">
        <v>8</v>
      </c>
      <c r="B9" s="23" t="inlineStr">
        <is>
          <t>Parvus 51</t>
        </is>
      </c>
      <c r="C9" s="23" t="inlineStr">
        <is>
          <t>Offizier</t>
        </is>
      </c>
      <c r="D9" s="34" t="inlineStr">
        <is>
          <t>22.10.2026</t>
        </is>
      </c>
      <c r="E9" s="23" t="inlineStr">
        <is>
          <t>Nein</t>
        </is>
      </c>
      <c r="F9" s="25">
        <f>IF(E9="Ja", 12500, 15000) * MAX(0, MIN(1, (28 - MAX(0, DATE(2026,10,22) - DATEVALUE(D9))) / 28))</f>
        <v/>
      </c>
      <c r="G9" s="25">
        <f>SUMIF(Erfasste_Truhen_Feed!C:C, B9, Erfasste_Truhen_Feed!F:F)</f>
        <v/>
      </c>
      <c r="H9" s="25">
        <f>IFERROR(VLOOKUP(B9, Turmbau_Tracker!B:E, 4, FALSE), 0)</f>
        <v/>
      </c>
      <c r="I9" s="25">
        <f>G9+H9</f>
        <v/>
      </c>
      <c r="J9" s="23">
        <f>IF(I9&gt;=F9, "Ja", "Nein")</f>
        <v/>
      </c>
    </row>
    <row r="10" ht="15" customHeight="1" s="18">
      <c r="A10" s="27" t="n">
        <v>9</v>
      </c>
      <c r="B10" s="27" t="inlineStr">
        <is>
          <t>Delalen</t>
        </is>
      </c>
      <c r="C10" s="27" t="inlineStr">
        <is>
          <t>Offizier</t>
        </is>
      </c>
      <c r="D10" s="34" t="inlineStr">
        <is>
          <t>22.10.2026</t>
        </is>
      </c>
      <c r="E10" s="27" t="inlineStr">
        <is>
          <t>Nein</t>
        </is>
      </c>
      <c r="F10" s="28">
        <f>IF(E10="Ja", 12500, 15000) * MAX(0, MIN(1, (28 - MAX(0, DATE(2026,10,22) - DATEVALUE(D10))) / 28))</f>
        <v/>
      </c>
      <c r="G10" s="28">
        <f>SUMIF(Erfasste_Truhen_Feed!C:C, B10, Erfasste_Truhen_Feed!F:F)</f>
        <v/>
      </c>
      <c r="H10" s="28">
        <f>IFERROR(VLOOKUP(B10, Turmbau_Tracker!B:E, 4, FALSE), 0)</f>
        <v/>
      </c>
      <c r="I10" s="28">
        <f>G10+H10</f>
        <v/>
      </c>
      <c r="J10" s="27">
        <f>IF(I10&gt;=F10, "Ja", "Nein")</f>
        <v/>
      </c>
    </row>
    <row r="11" ht="15" customHeight="1" s="18">
      <c r="A11" s="23" t="n">
        <v>10</v>
      </c>
      <c r="B11" s="23" t="inlineStr">
        <is>
          <t>Loki</t>
        </is>
      </c>
      <c r="C11" s="23" t="inlineStr">
        <is>
          <t>Offizier</t>
        </is>
      </c>
      <c r="D11" s="34" t="inlineStr">
        <is>
          <t>22.10.2026</t>
        </is>
      </c>
      <c r="E11" s="23" t="inlineStr">
        <is>
          <t>Nein</t>
        </is>
      </c>
      <c r="F11" s="25">
        <f>IF(E11="Ja", 12500, 15000) * MAX(0, MIN(1, (28 - MAX(0, DATE(2026,10,22) - DATEVALUE(D11))) / 28))</f>
        <v/>
      </c>
      <c r="G11" s="25">
        <f>SUMIF(Erfasste_Truhen_Feed!C:C, B11, Erfasste_Truhen_Feed!F:F)</f>
        <v/>
      </c>
      <c r="H11" s="25">
        <f>IFERROR(VLOOKUP(B11, Turmbau_Tracker!B:E, 4, FALSE), 0)</f>
        <v/>
      </c>
      <c r="I11" s="25">
        <f>G11+H11</f>
        <v/>
      </c>
      <c r="J11" s="23">
        <f>IF(I11&gt;=F11, "Ja", "Nein")</f>
        <v/>
      </c>
    </row>
    <row r="12" ht="15" customHeight="1" s="18">
      <c r="A12" s="27" t="n">
        <v>11</v>
      </c>
      <c r="B12" s="27" t="inlineStr">
        <is>
          <t>Gran Rex</t>
        </is>
      </c>
      <c r="C12" s="27" t="inlineStr">
        <is>
          <t>Offizier</t>
        </is>
      </c>
      <c r="D12" s="34" t="inlineStr">
        <is>
          <t>22.10.2026</t>
        </is>
      </c>
      <c r="E12" s="27" t="inlineStr">
        <is>
          <t>Nein</t>
        </is>
      </c>
      <c r="F12" s="28">
        <f>IF(E12="Ja", 12500, 15000) * MAX(0, MIN(1, (28 - MAX(0, DATE(2026,10,22) - DATEVALUE(D12))) / 28))</f>
        <v/>
      </c>
      <c r="G12" s="28">
        <f>SUMIF(Erfasste_Truhen_Feed!C:C, B12, Erfasste_Truhen_Feed!F:F)</f>
        <v/>
      </c>
      <c r="H12" s="28">
        <f>IFERROR(VLOOKUP(B12, Turmbau_Tracker!B:E, 4, FALSE), 0)</f>
        <v/>
      </c>
      <c r="I12" s="28">
        <f>G12+H12</f>
        <v/>
      </c>
      <c r="J12" s="27">
        <f>IF(I12&gt;=F12, "Ja", "Nein")</f>
        <v/>
      </c>
    </row>
    <row r="13" ht="15" customHeight="1" s="18">
      <c r="A13" s="23" t="n">
        <v>12</v>
      </c>
      <c r="B13" s="23" t="inlineStr">
        <is>
          <t>TECH</t>
        </is>
      </c>
      <c r="C13" s="23" t="inlineStr">
        <is>
          <t>Offizier</t>
        </is>
      </c>
      <c r="D13" s="34" t="inlineStr">
        <is>
          <t>22.10.2026</t>
        </is>
      </c>
      <c r="E13" s="23" t="inlineStr">
        <is>
          <t>Nein</t>
        </is>
      </c>
      <c r="F13" s="25">
        <f>IF(E13="Ja", 12500, 15000) * MAX(0, MIN(1, (28 - MAX(0, DATE(2026,10,22) - DATEVALUE(D13))) / 28))</f>
        <v/>
      </c>
      <c r="G13" s="25">
        <f>SUMIF(Erfasste_Truhen_Feed!C:C, B13, Erfasste_Truhen_Feed!F:F)</f>
        <v/>
      </c>
      <c r="H13" s="25">
        <f>IFERROR(VLOOKUP(B13, Turmbau_Tracker!B:E, 4, FALSE), 0)</f>
        <v/>
      </c>
      <c r="I13" s="25">
        <f>G13+H13</f>
        <v/>
      </c>
      <c r="J13" s="23">
        <f>IF(I13&gt;=F13, "Ja", "Nein")</f>
        <v/>
      </c>
    </row>
    <row r="14" ht="15" customHeight="1" s="18">
      <c r="A14" s="27" t="n">
        <v>13</v>
      </c>
      <c r="B14" s="27" t="inlineStr">
        <is>
          <t>Son Of Algéri</t>
        </is>
      </c>
      <c r="C14" s="27" t="inlineStr">
        <is>
          <t>Offizier</t>
        </is>
      </c>
      <c r="D14" s="34" t="inlineStr">
        <is>
          <t>22.10.2026</t>
        </is>
      </c>
      <c r="E14" s="27" t="inlineStr">
        <is>
          <t>Nein</t>
        </is>
      </c>
      <c r="F14" s="28">
        <f>IF(E14="Ja", 12500, 15000) * MAX(0, MIN(1, (28 - MAX(0, DATE(2026,10,22) - DATEVALUE(D14))) / 28))</f>
        <v/>
      </c>
      <c r="G14" s="28">
        <f>SUMIF(Erfasste_Truhen_Feed!C:C, B14, Erfasste_Truhen_Feed!F:F)</f>
        <v/>
      </c>
      <c r="H14" s="28">
        <f>IFERROR(VLOOKUP(B14, Turmbau_Tracker!B:E, 4, FALSE), 0)</f>
        <v/>
      </c>
      <c r="I14" s="28">
        <f>G14+H14</f>
        <v/>
      </c>
      <c r="J14" s="27">
        <f>IF(I14&gt;=F14, "Ja", "Nein")</f>
        <v/>
      </c>
    </row>
    <row r="15" ht="15" customHeight="1" s="18">
      <c r="A15" s="23" t="n">
        <v>14</v>
      </c>
      <c r="B15" s="23" t="inlineStr">
        <is>
          <t>Goll</t>
        </is>
      </c>
      <c r="C15" s="23" t="inlineStr">
        <is>
          <t>Offizier</t>
        </is>
      </c>
      <c r="D15" s="34" t="inlineStr">
        <is>
          <t>22.10.2026</t>
        </is>
      </c>
      <c r="E15" s="23" t="inlineStr">
        <is>
          <t>Nein</t>
        </is>
      </c>
      <c r="F15" s="25">
        <f>IF(E15="Ja", 12500, 15000) * MAX(0, MIN(1, (28 - MAX(0, DATE(2026,10,22) - DATEVALUE(D15))) / 28))</f>
        <v/>
      </c>
      <c r="G15" s="25">
        <f>SUMIF(Erfasste_Truhen_Feed!C:C, B15, Erfasste_Truhen_Feed!F:F)</f>
        <v/>
      </c>
      <c r="H15" s="25">
        <f>IFERROR(VLOOKUP(B15, Turmbau_Tracker!B:E, 4, FALSE), 0)</f>
        <v/>
      </c>
      <c r="I15" s="25">
        <f>G15+H15</f>
        <v/>
      </c>
      <c r="J15" s="23">
        <f>IF(I15&gt;=F15, "Ja", "Nein")</f>
        <v/>
      </c>
    </row>
    <row r="16" ht="15" customHeight="1" s="18">
      <c r="A16" s="27" t="n">
        <v>15</v>
      </c>
      <c r="B16" s="27" t="inlineStr">
        <is>
          <t>Tanmisis</t>
        </is>
      </c>
      <c r="C16" s="27" t="inlineStr">
        <is>
          <t>Veteran</t>
        </is>
      </c>
      <c r="D16" s="34" t="inlineStr">
        <is>
          <t>22.10.2026</t>
        </is>
      </c>
      <c r="E16" s="27" t="inlineStr">
        <is>
          <t>Nein</t>
        </is>
      </c>
      <c r="F16" s="28">
        <f>IF(E16="Ja", 12500, 15000) * MAX(0, MIN(1, (28 - MAX(0, DATE(2026,10,22) - DATEVALUE(D16))) / 28))</f>
        <v/>
      </c>
      <c r="G16" s="28">
        <f>SUMIF(Erfasste_Truhen_Feed!C:C, B16, Erfasste_Truhen_Feed!F:F)</f>
        <v/>
      </c>
      <c r="H16" s="28">
        <f>IFERROR(VLOOKUP(B16, Turmbau_Tracker!B:E, 4, FALSE), 0)</f>
        <v/>
      </c>
      <c r="I16" s="28">
        <f>G16+H16</f>
        <v/>
      </c>
      <c r="J16" s="27">
        <f>IF(I16&gt;=F16, "Ja", "Nein")</f>
        <v/>
      </c>
    </row>
    <row r="17" ht="15" customHeight="1" s="18">
      <c r="A17" s="23" t="n">
        <v>16</v>
      </c>
      <c r="B17" s="23" t="inlineStr">
        <is>
          <t>Sir spanksALot</t>
        </is>
      </c>
      <c r="C17" s="23" t="inlineStr">
        <is>
          <t>Veteran</t>
        </is>
      </c>
      <c r="D17" s="34" t="inlineStr">
        <is>
          <t>22.10.2026</t>
        </is>
      </c>
      <c r="E17" s="23" t="inlineStr">
        <is>
          <t>Nein</t>
        </is>
      </c>
      <c r="F17" s="25">
        <f>IF(E17="Ja", 12500, 15000) * MAX(0, MIN(1, (28 - MAX(0, DATE(2026,10,22) - DATEVALUE(D17))) / 28))</f>
        <v/>
      </c>
      <c r="G17" s="25">
        <f>SUMIF(Erfasste_Truhen_Feed!C:C, B17, Erfasste_Truhen_Feed!F:F)</f>
        <v/>
      </c>
      <c r="H17" s="25">
        <f>IFERROR(VLOOKUP(B17, Turmbau_Tracker!B:E, 4, FALSE), 0)</f>
        <v/>
      </c>
      <c r="I17" s="25">
        <f>G17+H17</f>
        <v/>
      </c>
      <c r="J17" s="23">
        <f>IF(I17&gt;=F17, "Ja", "Nein")</f>
        <v/>
      </c>
    </row>
    <row r="18" ht="15" customHeight="1" s="18">
      <c r="A18" s="27" t="n">
        <v>17</v>
      </c>
      <c r="B18" s="27" t="inlineStr">
        <is>
          <t>BAD Guo II</t>
        </is>
      </c>
      <c r="C18" s="27" t="inlineStr">
        <is>
          <t>Veteran</t>
        </is>
      </c>
      <c r="D18" s="34" t="inlineStr">
        <is>
          <t>22.10.2026</t>
        </is>
      </c>
      <c r="E18" s="27" t="inlineStr">
        <is>
          <t>Nein</t>
        </is>
      </c>
      <c r="F18" s="28">
        <f>IF(E18="Ja", 12500, 15000) * MAX(0, MIN(1, (28 - MAX(0, DATE(2026,10,22) - DATEVALUE(D18))) / 28))</f>
        <v/>
      </c>
      <c r="G18" s="28">
        <f>SUMIF(Erfasste_Truhen_Feed!C:C, B18, Erfasste_Truhen_Feed!F:F)</f>
        <v/>
      </c>
      <c r="H18" s="28">
        <f>IFERROR(VLOOKUP(B18, Turmbau_Tracker!B:E, 4, FALSE), 0)</f>
        <v/>
      </c>
      <c r="I18" s="28">
        <f>G18+H18</f>
        <v/>
      </c>
      <c r="J18" s="27">
        <f>IF(I18&gt;=F18, "Ja", "Nein")</f>
        <v/>
      </c>
    </row>
    <row r="19" ht="15" customHeight="1" s="18">
      <c r="A19" s="23" t="n">
        <v>18</v>
      </c>
      <c r="B19" s="23" t="inlineStr">
        <is>
          <t>Riyash</t>
        </is>
      </c>
      <c r="C19" s="23" t="inlineStr">
        <is>
          <t>Veteran</t>
        </is>
      </c>
      <c r="D19" s="34" t="inlineStr">
        <is>
          <t>22.10.2026</t>
        </is>
      </c>
      <c r="E19" s="23" t="inlineStr">
        <is>
          <t>Nein</t>
        </is>
      </c>
      <c r="F19" s="25">
        <f>IF(E19="Ja", 12500, 15000) * MAX(0, MIN(1, (28 - MAX(0, DATE(2026,10,22) - DATEVALUE(D19))) / 28))</f>
        <v/>
      </c>
      <c r="G19" s="25">
        <f>SUMIF(Erfasste_Truhen_Feed!C:C, B19, Erfasste_Truhen_Feed!F:F)</f>
        <v/>
      </c>
      <c r="H19" s="25">
        <f>IFERROR(VLOOKUP(B19, Turmbau_Tracker!B:E, 4, FALSE), 0)</f>
        <v/>
      </c>
      <c r="I19" s="25">
        <f>G19+H19</f>
        <v/>
      </c>
      <c r="J19" s="23">
        <f>IF(I19&gt;=F19, "Ja", "Nein")</f>
        <v/>
      </c>
    </row>
    <row r="20" ht="15" customHeight="1" s="18">
      <c r="A20" s="27" t="n">
        <v>19</v>
      </c>
      <c r="B20" s="27" t="inlineStr">
        <is>
          <t>Sir Charles</t>
        </is>
      </c>
      <c r="C20" s="27" t="inlineStr">
        <is>
          <t>Veteran</t>
        </is>
      </c>
      <c r="D20" s="34" t="inlineStr">
        <is>
          <t>22.10.2026</t>
        </is>
      </c>
      <c r="E20" s="27" t="inlineStr">
        <is>
          <t>Nein</t>
        </is>
      </c>
      <c r="F20" s="28">
        <f>IF(E20="Ja", 12500, 15000) * MAX(0, MIN(1, (28 - MAX(0, DATE(2026,10,22) - DATEVALUE(D20))) / 28))</f>
        <v/>
      </c>
      <c r="G20" s="28">
        <f>SUMIF(Erfasste_Truhen_Feed!C:C, B20, Erfasste_Truhen_Feed!F:F)</f>
        <v/>
      </c>
      <c r="H20" s="28">
        <f>IFERROR(VLOOKUP(B20, Turmbau_Tracker!B:E, 4, FALSE), 0)</f>
        <v/>
      </c>
      <c r="I20" s="28">
        <f>G20+H20</f>
        <v/>
      </c>
      <c r="J20" s="27">
        <f>IF(I20&gt;=F20, "Ja", "Nein")</f>
        <v/>
      </c>
    </row>
    <row r="21" ht="15" customHeight="1" s="18">
      <c r="A21" s="23" t="n">
        <v>20</v>
      </c>
      <c r="B21" s="23" t="inlineStr">
        <is>
          <t>Manador II</t>
        </is>
      </c>
      <c r="C21" s="23" t="inlineStr">
        <is>
          <t>Veteran</t>
        </is>
      </c>
      <c r="D21" s="34" t="inlineStr">
        <is>
          <t>22.10.2026</t>
        </is>
      </c>
      <c r="E21" s="23" t="inlineStr">
        <is>
          <t>Nein</t>
        </is>
      </c>
      <c r="F21" s="25">
        <f>IF(E21="Ja", 12500, 15000) * MAX(0, MIN(1, (28 - MAX(0, DATE(2026,10,22) - DATEVALUE(D21))) / 28))</f>
        <v/>
      </c>
      <c r="G21" s="25">
        <f>SUMIF(Erfasste_Truhen_Feed!C:C, B21, Erfasste_Truhen_Feed!F:F)</f>
        <v/>
      </c>
      <c r="H21" s="25">
        <f>IFERROR(VLOOKUP(B21, Turmbau_Tracker!B:E, 4, FALSE), 0)</f>
        <v/>
      </c>
      <c r="I21" s="25">
        <f>G21+H21</f>
        <v/>
      </c>
      <c r="J21" s="23">
        <f>IF(I21&gt;=F21, "Ja", "Nein")</f>
        <v/>
      </c>
    </row>
    <row r="22" ht="15" customHeight="1" s="18">
      <c r="A22" s="27" t="n">
        <v>21</v>
      </c>
      <c r="B22" s="27" t="inlineStr">
        <is>
          <t>Riyash CP CITY</t>
        </is>
      </c>
      <c r="C22" s="27" t="inlineStr">
        <is>
          <t>Veteran</t>
        </is>
      </c>
      <c r="D22" s="34" t="inlineStr">
        <is>
          <t>22.10.2026</t>
        </is>
      </c>
      <c r="E22" s="27" t="inlineStr">
        <is>
          <t>Nein</t>
        </is>
      </c>
      <c r="F22" s="28">
        <f>IF(E22="Ja", 12500, 15000) * MAX(0, MIN(1, (28 - MAX(0, DATE(2026,10,22) - DATEVALUE(D22))) / 28))</f>
        <v/>
      </c>
      <c r="G22" s="28">
        <f>SUMIF(Erfasste_Truhen_Feed!C:C, B22, Erfasste_Truhen_Feed!F:F)</f>
        <v/>
      </c>
      <c r="H22" s="28">
        <f>IFERROR(VLOOKUP(B22, Turmbau_Tracker!B:E, 4, FALSE), 0)</f>
        <v/>
      </c>
      <c r="I22" s="28">
        <f>G22+H22</f>
        <v/>
      </c>
      <c r="J22" s="27">
        <f>IF(I22&gt;=F22, "Ja", "Nein")</f>
        <v/>
      </c>
    </row>
    <row r="23" ht="15" customHeight="1" s="18">
      <c r="A23" s="23" t="n">
        <v>22</v>
      </c>
      <c r="B23" s="23" t="inlineStr">
        <is>
          <t>Magellan</t>
        </is>
      </c>
      <c r="C23" s="23" t="inlineStr">
        <is>
          <t>Veteran</t>
        </is>
      </c>
      <c r="D23" s="34" t="inlineStr">
        <is>
          <t>22.10.2026</t>
        </is>
      </c>
      <c r="E23" s="23" t="inlineStr">
        <is>
          <t>Nein</t>
        </is>
      </c>
      <c r="F23" s="25">
        <f>IF(E23="Ja", 12500, 15000) * MAX(0, MIN(1, (28 - MAX(0, DATE(2026,10,22) - DATEVALUE(D23))) / 28))</f>
        <v/>
      </c>
      <c r="G23" s="25">
        <f>SUMIF(Erfasste_Truhen_Feed!C:C, B23, Erfasste_Truhen_Feed!F:F)</f>
        <v/>
      </c>
      <c r="H23" s="25">
        <f>IFERROR(VLOOKUP(B23, Turmbau_Tracker!B:E, 4, FALSE), 0)</f>
        <v/>
      </c>
      <c r="I23" s="25">
        <f>G23+H23</f>
        <v/>
      </c>
      <c r="J23" s="23">
        <f>IF(I23&gt;=F23, "Ja", "Nein")</f>
        <v/>
      </c>
    </row>
    <row r="24" ht="15" customHeight="1" s="18">
      <c r="A24" s="27" t="n">
        <v>23</v>
      </c>
      <c r="B24" s="27" t="inlineStr">
        <is>
          <t>Explorer</t>
        </is>
      </c>
      <c r="C24" s="27" t="inlineStr">
        <is>
          <t>Veteran</t>
        </is>
      </c>
      <c r="D24" s="34" t="inlineStr">
        <is>
          <t>22.10.2026</t>
        </is>
      </c>
      <c r="E24" s="27" t="inlineStr">
        <is>
          <t>Nein</t>
        </is>
      </c>
      <c r="F24" s="28">
        <f>IF(E24="Ja", 12500, 15000) * MAX(0, MIN(1, (28 - MAX(0, DATE(2026,10,22) - DATEVALUE(D24))) / 28))</f>
        <v/>
      </c>
      <c r="G24" s="28">
        <f>SUMIF(Erfasste_Truhen_Feed!C:C, B24, Erfasste_Truhen_Feed!F:F)</f>
        <v/>
      </c>
      <c r="H24" s="28">
        <f>IFERROR(VLOOKUP(B24, Turmbau_Tracker!B:E, 4, FALSE), 0)</f>
        <v/>
      </c>
      <c r="I24" s="28">
        <f>G24+H24</f>
        <v/>
      </c>
      <c r="J24" s="27">
        <f>IF(I24&gt;=F24, "Ja", "Nein")</f>
        <v/>
      </c>
    </row>
    <row r="25" ht="15" customHeight="1" s="18">
      <c r="A25" s="23" t="n">
        <v>24</v>
      </c>
      <c r="B25" s="23" t="inlineStr">
        <is>
          <t>Samy</t>
        </is>
      </c>
      <c r="C25" s="23" t="inlineStr">
        <is>
          <t>Veteran</t>
        </is>
      </c>
      <c r="D25" s="34" t="inlineStr">
        <is>
          <t>22.10.2026</t>
        </is>
      </c>
      <c r="E25" s="23" t="inlineStr">
        <is>
          <t>Nein</t>
        </is>
      </c>
      <c r="F25" s="25">
        <f>IF(E25="Ja", 12500, 15000) * MAX(0, MIN(1, (28 - MAX(0, DATE(2026,10,22) - DATEVALUE(D25))) / 28))</f>
        <v/>
      </c>
      <c r="G25" s="25">
        <f>SUMIF(Erfasste_Truhen_Feed!C:C, B25, Erfasste_Truhen_Feed!F:F)</f>
        <v/>
      </c>
      <c r="H25" s="25">
        <f>IFERROR(VLOOKUP(B25, Turmbau_Tracker!B:E, 4, FALSE), 0)</f>
        <v/>
      </c>
      <c r="I25" s="25">
        <f>G25+H25</f>
        <v/>
      </c>
      <c r="J25" s="23">
        <f>IF(I25&gt;=F25, "Ja", "Nein")</f>
        <v/>
      </c>
    </row>
    <row r="26" ht="15" customHeight="1" s="18">
      <c r="A26" s="27" t="n">
        <v>25</v>
      </c>
      <c r="B26" s="27" t="inlineStr">
        <is>
          <t>DRACULA</t>
        </is>
      </c>
      <c r="C26" s="27" t="inlineStr">
        <is>
          <t>Veteran</t>
        </is>
      </c>
      <c r="D26" s="34" t="inlineStr">
        <is>
          <t>22.10.2026</t>
        </is>
      </c>
      <c r="E26" s="27" t="inlineStr">
        <is>
          <t>Nein</t>
        </is>
      </c>
      <c r="F26" s="28">
        <f>IF(E26="Ja", 12500, 15000) * MAX(0, MIN(1, (28 - MAX(0, DATE(2026,10,22) - DATEVALUE(D26))) / 28))</f>
        <v/>
      </c>
      <c r="G26" s="28">
        <f>SUMIF(Erfasste_Truhen_Feed!C:C, B26, Erfasste_Truhen_Feed!F:F)</f>
        <v/>
      </c>
      <c r="H26" s="28">
        <f>IFERROR(VLOOKUP(B26, Turmbau_Tracker!B:E, 4, FALSE), 0)</f>
        <v/>
      </c>
      <c r="I26" s="28">
        <f>G26+H26</f>
        <v/>
      </c>
      <c r="J26" s="27">
        <f>IF(I26&gt;=F26, "Ja", "Nein")</f>
        <v/>
      </c>
    </row>
    <row r="27" ht="15" customHeight="1" s="18">
      <c r="A27" s="23" t="n">
        <v>26</v>
      </c>
      <c r="B27" s="23" t="inlineStr">
        <is>
          <t>Osoooo</t>
        </is>
      </c>
      <c r="C27" s="23" t="inlineStr">
        <is>
          <t>Veteran</t>
        </is>
      </c>
      <c r="D27" s="34" t="inlineStr">
        <is>
          <t>22.10.2026</t>
        </is>
      </c>
      <c r="E27" s="23" t="inlineStr">
        <is>
          <t>Nein</t>
        </is>
      </c>
      <c r="F27" s="25">
        <f>IF(E27="Ja", 12500, 15000) * MAX(0, MIN(1, (28 - MAX(0, DATE(2026,10,22) - DATEVALUE(D27))) / 28))</f>
        <v/>
      </c>
      <c r="G27" s="25">
        <f>SUMIF(Erfasste_Truhen_Feed!C:C, B27, Erfasste_Truhen_Feed!F:F)</f>
        <v/>
      </c>
      <c r="H27" s="25">
        <f>IFERROR(VLOOKUP(B27, Turmbau_Tracker!B:E, 4, FALSE), 0)</f>
        <v/>
      </c>
      <c r="I27" s="25">
        <f>G27+H27</f>
        <v/>
      </c>
      <c r="J27" s="23">
        <f>IF(I27&gt;=F27, "Ja", "Nein")</f>
        <v/>
      </c>
    </row>
    <row r="28" ht="15" customHeight="1" s="18">
      <c r="A28" s="27" t="n">
        <v>27</v>
      </c>
      <c r="B28" s="27" t="inlineStr">
        <is>
          <t>bjar</t>
        </is>
      </c>
      <c r="C28" s="27" t="inlineStr">
        <is>
          <t>Veteran</t>
        </is>
      </c>
      <c r="D28" s="34" t="inlineStr">
        <is>
          <t>22.10.2026</t>
        </is>
      </c>
      <c r="E28" s="27" t="inlineStr">
        <is>
          <t>Nein</t>
        </is>
      </c>
      <c r="F28" s="28">
        <f>IF(E28="Ja", 12500, 15000) * MAX(0, MIN(1, (28 - MAX(0, DATE(2026,10,22) - DATEVALUE(D28))) / 28))</f>
        <v/>
      </c>
      <c r="G28" s="28">
        <f>SUMIF(Erfasste_Truhen_Feed!C:C, B28, Erfasste_Truhen_Feed!F:F)</f>
        <v/>
      </c>
      <c r="H28" s="28">
        <f>IFERROR(VLOOKUP(B28, Turmbau_Tracker!B:E, 4, FALSE), 0)</f>
        <v/>
      </c>
      <c r="I28" s="28">
        <f>G28+H28</f>
        <v/>
      </c>
      <c r="J28" s="27">
        <f>IF(I28&gt;=F28, "Ja", "Nein")</f>
        <v/>
      </c>
    </row>
    <row r="29" ht="15" customHeight="1" s="18">
      <c r="A29" s="23" t="n">
        <v>28</v>
      </c>
      <c r="B29" s="23" t="inlineStr">
        <is>
          <t>Biin</t>
        </is>
      </c>
      <c r="C29" s="23" t="inlineStr">
        <is>
          <t>Veteran</t>
        </is>
      </c>
      <c r="D29" s="34" t="inlineStr">
        <is>
          <t>22.10.2026</t>
        </is>
      </c>
      <c r="E29" s="23" t="inlineStr">
        <is>
          <t>Nein</t>
        </is>
      </c>
      <c r="F29" s="25">
        <f>IF(E29="Ja", 12500, 15000) * MAX(0, MIN(1, (28 - MAX(0, DATE(2026,10,22) - DATEVALUE(D29))) / 28))</f>
        <v/>
      </c>
      <c r="G29" s="25">
        <f>SUMIF(Erfasste_Truhen_Feed!C:C, B29, Erfasste_Truhen_Feed!F:F)</f>
        <v/>
      </c>
      <c r="H29" s="25">
        <f>IFERROR(VLOOKUP(B29, Turmbau_Tracker!B:E, 4, FALSE), 0)</f>
        <v/>
      </c>
      <c r="I29" s="25">
        <f>G29+H29</f>
        <v/>
      </c>
      <c r="J29" s="23">
        <f>IF(I29&gt;=F29, "Ja", "Nein")</f>
        <v/>
      </c>
    </row>
    <row r="30" ht="15" customHeight="1" s="18">
      <c r="A30" s="27" t="n">
        <v>29</v>
      </c>
      <c r="B30" s="27" t="inlineStr">
        <is>
          <t>Maem</t>
        </is>
      </c>
      <c r="C30" s="27" t="inlineStr">
        <is>
          <t>Veteran</t>
        </is>
      </c>
      <c r="D30" s="34" t="inlineStr">
        <is>
          <t>22.10.2026</t>
        </is>
      </c>
      <c r="E30" s="27" t="inlineStr">
        <is>
          <t>Nein</t>
        </is>
      </c>
      <c r="F30" s="28">
        <f>IF(E30="Ja", 12500, 15000) * MAX(0, MIN(1, (28 - MAX(0, DATE(2026,10,22) - DATEVALUE(D30))) / 28))</f>
        <v/>
      </c>
      <c r="G30" s="28">
        <f>SUMIF(Erfasste_Truhen_Feed!C:C, B30, Erfasste_Truhen_Feed!F:F)</f>
        <v/>
      </c>
      <c r="H30" s="28">
        <f>IFERROR(VLOOKUP(B30, Turmbau_Tracker!B:E, 4, FALSE), 0)</f>
        <v/>
      </c>
      <c r="I30" s="28">
        <f>G30+H30</f>
        <v/>
      </c>
      <c r="J30" s="27">
        <f>IF(I30&gt;=F30, "Ja", "Nein")</f>
        <v/>
      </c>
    </row>
    <row r="31" ht="15" customHeight="1" s="18">
      <c r="A31" s="23" t="n">
        <v>30</v>
      </c>
      <c r="B31" s="23" t="inlineStr">
        <is>
          <t>Mojo</t>
        </is>
      </c>
      <c r="C31" s="23" t="inlineStr">
        <is>
          <t>Veteran</t>
        </is>
      </c>
      <c r="D31" s="34" t="inlineStr">
        <is>
          <t>22.10.2026</t>
        </is>
      </c>
      <c r="E31" s="23" t="inlineStr">
        <is>
          <t>Nein</t>
        </is>
      </c>
      <c r="F31" s="25">
        <f>IF(E31="Ja", 12500, 15000) * MAX(0, MIN(1, (28 - MAX(0, DATE(2026,10,22) - DATEVALUE(D31))) / 28))</f>
        <v/>
      </c>
      <c r="G31" s="25">
        <f>SUMIF(Erfasste_Truhen_Feed!C:C, B31, Erfasste_Truhen_Feed!F:F)</f>
        <v/>
      </c>
      <c r="H31" s="25">
        <f>IFERROR(VLOOKUP(B31, Turmbau_Tracker!B:E, 4, FALSE), 0)</f>
        <v/>
      </c>
      <c r="I31" s="25">
        <f>G31+H31</f>
        <v/>
      </c>
      <c r="J31" s="23">
        <f>IF(I31&gt;=F31, "Ja", "Nein")</f>
        <v/>
      </c>
    </row>
    <row r="32" ht="15" customHeight="1" s="18">
      <c r="A32" s="27" t="n">
        <v>31</v>
      </c>
      <c r="B32" s="27" t="inlineStr">
        <is>
          <t>Kariel</t>
        </is>
      </c>
      <c r="C32" s="27" t="inlineStr">
        <is>
          <t>Veteran</t>
        </is>
      </c>
      <c r="D32" s="34" t="inlineStr">
        <is>
          <t>22.10.2026</t>
        </is>
      </c>
      <c r="E32" s="27" t="inlineStr">
        <is>
          <t>Nein</t>
        </is>
      </c>
      <c r="F32" s="28">
        <f>IF(E32="Ja", 12500, 15000) * MAX(0, MIN(1, (28 - MAX(0, DATE(2026,10,22) - DATEVALUE(D32))) / 28))</f>
        <v/>
      </c>
      <c r="G32" s="28">
        <f>SUMIF(Erfasste_Truhen_Feed!C:C, B32, Erfasste_Truhen_Feed!F:F)</f>
        <v/>
      </c>
      <c r="H32" s="28">
        <f>IFERROR(VLOOKUP(B32, Turmbau_Tracker!B:E, 4, FALSE), 0)</f>
        <v/>
      </c>
      <c r="I32" s="28">
        <f>G32+H32</f>
        <v/>
      </c>
      <c r="J32" s="27">
        <f>IF(I32&gt;=F32, "Ja", "Nein")</f>
        <v/>
      </c>
    </row>
    <row r="33" ht="15" customHeight="1" s="18">
      <c r="A33" s="23" t="n">
        <v>32</v>
      </c>
      <c r="B33" s="23" t="inlineStr">
        <is>
          <t>Elginan</t>
        </is>
      </c>
      <c r="C33" s="23" t="inlineStr">
        <is>
          <t>Veteran</t>
        </is>
      </c>
      <c r="D33" s="34" t="inlineStr">
        <is>
          <t>22.10.2026</t>
        </is>
      </c>
      <c r="E33" s="23" t="inlineStr">
        <is>
          <t>Nein</t>
        </is>
      </c>
      <c r="F33" s="25">
        <f>IF(E33="Ja", 12500, 15000) * MAX(0, MIN(1, (28 - MAX(0, DATE(2026,10,22) - DATEVALUE(D33))) / 28))</f>
        <v/>
      </c>
      <c r="G33" s="25">
        <f>SUMIF(Erfasste_Truhen_Feed!C:C, B33, Erfasste_Truhen_Feed!F:F)</f>
        <v/>
      </c>
      <c r="H33" s="25">
        <f>IFERROR(VLOOKUP(B33, Turmbau_Tracker!B:E, 4, FALSE), 0)</f>
        <v/>
      </c>
      <c r="I33" s="25">
        <f>G33+H33</f>
        <v/>
      </c>
      <c r="J33" s="23">
        <f>IF(I33&gt;=F33, "Ja", "Nein")</f>
        <v/>
      </c>
    </row>
    <row r="34" ht="15" customHeight="1" s="18">
      <c r="A34" s="27" t="n">
        <v>33</v>
      </c>
      <c r="B34" s="27" t="inlineStr">
        <is>
          <t>Auzar</t>
        </is>
      </c>
      <c r="C34" s="27" t="inlineStr">
        <is>
          <t>Veteran</t>
        </is>
      </c>
      <c r="D34" s="34" t="inlineStr">
        <is>
          <t>22.10.2026</t>
        </is>
      </c>
      <c r="E34" s="27" t="inlineStr">
        <is>
          <t>Nein</t>
        </is>
      </c>
      <c r="F34" s="28">
        <f>IF(E34="Ja", 12500, 15000) * MAX(0, MIN(1, (28 - MAX(0, DATE(2026,10,22) - DATEVALUE(D34))) / 28))</f>
        <v/>
      </c>
      <c r="G34" s="28">
        <f>SUMIF(Erfasste_Truhen_Feed!C:C, B34, Erfasste_Truhen_Feed!F:F)</f>
        <v/>
      </c>
      <c r="H34" s="28">
        <f>IFERROR(VLOOKUP(B34, Turmbau_Tracker!B:E, 4, FALSE), 0)</f>
        <v/>
      </c>
      <c r="I34" s="28">
        <f>G34+H34</f>
        <v/>
      </c>
      <c r="J34" s="27">
        <f>IF(I34&gt;=F34, "Ja", "Nein")</f>
        <v/>
      </c>
    </row>
    <row r="35" ht="15" customHeight="1" s="18">
      <c r="A35" s="23" t="n">
        <v>34</v>
      </c>
      <c r="B35" s="23" t="inlineStr">
        <is>
          <t>Heimdall sk</t>
        </is>
      </c>
      <c r="C35" s="23" t="inlineStr">
        <is>
          <t>Veteran</t>
        </is>
      </c>
      <c r="D35" s="34" t="inlineStr">
        <is>
          <t>22.10.2026</t>
        </is>
      </c>
      <c r="E35" s="23" t="inlineStr">
        <is>
          <t>Nein</t>
        </is>
      </c>
      <c r="F35" s="25">
        <f>IF(E35="Ja", 12500, 15000) * MAX(0, MIN(1, (28 - MAX(0, DATE(2026,10,22) - DATEVALUE(D35))) / 28))</f>
        <v/>
      </c>
      <c r="G35" s="25">
        <f>SUMIF(Erfasste_Truhen_Feed!C:C, B35, Erfasste_Truhen_Feed!F:F)</f>
        <v/>
      </c>
      <c r="H35" s="25">
        <f>IFERROR(VLOOKUP(B35, Turmbau_Tracker!B:E, 4, FALSE), 0)</f>
        <v/>
      </c>
      <c r="I35" s="25">
        <f>G35+H35</f>
        <v/>
      </c>
      <c r="J35" s="23">
        <f>IF(I35&gt;=F35, "Ja", "Nein")</f>
        <v/>
      </c>
    </row>
    <row r="36" ht="15" customHeight="1" s="18">
      <c r="A36" s="27" t="n">
        <v>35</v>
      </c>
      <c r="B36" s="27" t="inlineStr">
        <is>
          <t>Carruggi 5r</t>
        </is>
      </c>
      <c r="C36" s="27" t="inlineStr">
        <is>
          <t>Veteran</t>
        </is>
      </c>
      <c r="D36" s="34" t="inlineStr">
        <is>
          <t>22.10.2026</t>
        </is>
      </c>
      <c r="E36" s="27" t="inlineStr">
        <is>
          <t>Nein</t>
        </is>
      </c>
      <c r="F36" s="28">
        <f>IF(E36="Ja", 12500, 15000) * MAX(0, MIN(1, (28 - MAX(0, DATE(2026,10,22) - DATEVALUE(D36))) / 28))</f>
        <v/>
      </c>
      <c r="G36" s="28">
        <f>SUMIF(Erfasste_Truhen_Feed!C:C, B36, Erfasste_Truhen_Feed!F:F)</f>
        <v/>
      </c>
      <c r="H36" s="28">
        <f>IFERROR(VLOOKUP(B36, Turmbau_Tracker!B:E, 4, FALSE), 0)</f>
        <v/>
      </c>
      <c r="I36" s="28">
        <f>G36+H36</f>
        <v/>
      </c>
      <c r="J36" s="27">
        <f>IF(I36&gt;=F36, "Ja", "Nein")</f>
        <v/>
      </c>
    </row>
    <row r="37" ht="15" customHeight="1" s="18">
      <c r="A37" s="23" t="n">
        <v>36</v>
      </c>
      <c r="B37" s="23" t="inlineStr">
        <is>
          <t>Dalas</t>
        </is>
      </c>
      <c r="C37" s="23" t="inlineStr">
        <is>
          <t>Veteran</t>
        </is>
      </c>
      <c r="D37" s="34" t="inlineStr">
        <is>
          <t>22.10.2026</t>
        </is>
      </c>
      <c r="E37" s="23" t="inlineStr">
        <is>
          <t>Nein</t>
        </is>
      </c>
      <c r="F37" s="25">
        <f>IF(E37="Ja", 12500, 15000) * MAX(0, MIN(1, (28 - MAX(0, DATE(2026,10,22) - DATEVALUE(D37))) / 28))</f>
        <v/>
      </c>
      <c r="G37" s="25">
        <f>SUMIF(Erfasste_Truhen_Feed!C:C, B37, Erfasste_Truhen_Feed!F:F)</f>
        <v/>
      </c>
      <c r="H37" s="25">
        <f>IFERROR(VLOOKUP(B37, Turmbau_Tracker!B:E, 4, FALSE), 0)</f>
        <v/>
      </c>
      <c r="I37" s="25">
        <f>G37+H37</f>
        <v/>
      </c>
      <c r="J37" s="23">
        <f>IF(I37&gt;=F37, "Ja", "Nein")</f>
        <v/>
      </c>
    </row>
    <row r="38" ht="15" customHeight="1" s="18">
      <c r="A38" s="27" t="n">
        <v>37</v>
      </c>
      <c r="B38" s="27" t="inlineStr">
        <is>
          <t>ICHNOS</t>
        </is>
      </c>
      <c r="C38" s="27" t="inlineStr">
        <is>
          <t>Veteran</t>
        </is>
      </c>
      <c r="D38" s="34" t="inlineStr">
        <is>
          <t>22.10.2026</t>
        </is>
      </c>
      <c r="E38" s="27" t="inlineStr">
        <is>
          <t>Nein</t>
        </is>
      </c>
      <c r="F38" s="28">
        <f>IF(E38="Ja", 12500, 15000) * MAX(0, MIN(1, (28 - MAX(0, DATE(2026,10,22) - DATEVALUE(D38))) / 28))</f>
        <v/>
      </c>
      <c r="G38" s="28">
        <f>SUMIF(Erfasste_Truhen_Feed!C:C, B38, Erfasste_Truhen_Feed!F:F)</f>
        <v/>
      </c>
      <c r="H38" s="28">
        <f>IFERROR(VLOOKUP(B38, Turmbau_Tracker!B:E, 4, FALSE), 0)</f>
        <v/>
      </c>
      <c r="I38" s="28">
        <f>G38+H38</f>
        <v/>
      </c>
      <c r="J38" s="27">
        <f>IF(I38&gt;=F38, "Ja", "Nein")</f>
        <v/>
      </c>
    </row>
    <row r="39" ht="15" customHeight="1" s="18">
      <c r="A39" s="23" t="n">
        <v>38</v>
      </c>
      <c r="B39" s="23" t="inlineStr">
        <is>
          <t>Lee the Ugly</t>
        </is>
      </c>
      <c r="C39" s="23" t="inlineStr">
        <is>
          <t>Veteran</t>
        </is>
      </c>
      <c r="D39" s="34" t="inlineStr">
        <is>
          <t>22.10.2026</t>
        </is>
      </c>
      <c r="E39" s="23" t="inlineStr">
        <is>
          <t>Nein</t>
        </is>
      </c>
      <c r="F39" s="25">
        <f>IF(E39="Ja", 12500, 15000) * MAX(0, MIN(1, (28 - MAX(0, DATE(2026,10,22) - DATEVALUE(D39))) / 28))</f>
        <v/>
      </c>
      <c r="G39" s="25">
        <f>SUMIF(Erfasste_Truhen_Feed!C:C, B39, Erfasste_Truhen_Feed!F:F)</f>
        <v/>
      </c>
      <c r="H39" s="25">
        <f>IFERROR(VLOOKUP(B39, Turmbau_Tracker!B:E, 4, FALSE), 0)</f>
        <v/>
      </c>
      <c r="I39" s="25">
        <f>G39+H39</f>
        <v/>
      </c>
      <c r="J39" s="23">
        <f>IF(I39&gt;=F39, "Ja", "Nein")</f>
        <v/>
      </c>
    </row>
    <row r="40" ht="15" customHeight="1" s="18">
      <c r="A40" s="27" t="n">
        <v>39</v>
      </c>
      <c r="B40" s="27" t="inlineStr">
        <is>
          <t>kordy</t>
        </is>
      </c>
      <c r="C40" s="27" t="inlineStr">
        <is>
          <t>Veteran</t>
        </is>
      </c>
      <c r="D40" s="34" t="inlineStr">
        <is>
          <t>22.10.2026</t>
        </is>
      </c>
      <c r="E40" s="27" t="inlineStr">
        <is>
          <t>Nein</t>
        </is>
      </c>
      <c r="F40" s="28">
        <f>IF(E40="Ja", 12500, 15000) * MAX(0, MIN(1, (28 - MAX(0, DATE(2026,10,22) - DATEVALUE(D40))) / 28))</f>
        <v/>
      </c>
      <c r="G40" s="28">
        <f>SUMIF(Erfasste_Truhen_Feed!C:C, B40, Erfasste_Truhen_Feed!F:F)</f>
        <v/>
      </c>
      <c r="H40" s="28">
        <f>IFERROR(VLOOKUP(B40, Turmbau_Tracker!B:E, 4, FALSE), 0)</f>
        <v/>
      </c>
      <c r="I40" s="28">
        <f>G40+H40</f>
        <v/>
      </c>
      <c r="J40" s="27">
        <f>IF(I40&gt;=F40, "Ja", "Nein")</f>
        <v/>
      </c>
    </row>
    <row r="41" ht="15" customHeight="1" s="18">
      <c r="A41" s="23" t="n">
        <v>40</v>
      </c>
      <c r="B41" s="23" t="inlineStr">
        <is>
          <t>Ajax</t>
        </is>
      </c>
      <c r="C41" s="23" t="inlineStr">
        <is>
          <t>Veteran</t>
        </is>
      </c>
      <c r="D41" s="34" t="inlineStr">
        <is>
          <t>22.10.2026</t>
        </is>
      </c>
      <c r="E41" s="23" t="inlineStr">
        <is>
          <t>Nein</t>
        </is>
      </c>
      <c r="F41" s="25">
        <f>IF(E41="Ja", 12500, 15000) * MAX(0, MIN(1, (28 - MAX(0, DATE(2026,10,22) - DATEVALUE(D41))) / 28))</f>
        <v/>
      </c>
      <c r="G41" s="25">
        <f>SUMIF(Erfasste_Truhen_Feed!C:C, B41, Erfasste_Truhen_Feed!F:F)</f>
        <v/>
      </c>
      <c r="H41" s="25">
        <f>IFERROR(VLOOKUP(B41, Turmbau_Tracker!B:E, 4, FALSE), 0)</f>
        <v/>
      </c>
      <c r="I41" s="25">
        <f>G41+H41</f>
        <v/>
      </c>
      <c r="J41" s="23">
        <f>IF(I41&gt;=F41, "Ja", "Nein")</f>
        <v/>
      </c>
    </row>
    <row r="42" ht="15" customHeight="1" s="18">
      <c r="A42" s="27" t="n">
        <v>41</v>
      </c>
      <c r="B42" s="27" t="inlineStr">
        <is>
          <t>Granidred</t>
        </is>
      </c>
      <c r="C42" s="27" t="inlineStr">
        <is>
          <t>Veteran</t>
        </is>
      </c>
      <c r="D42" s="34" t="inlineStr">
        <is>
          <t>22.10.2026</t>
        </is>
      </c>
      <c r="E42" s="27" t="inlineStr">
        <is>
          <t>Nein</t>
        </is>
      </c>
      <c r="F42" s="28">
        <f>IF(E42="Ja", 12500, 15000) * MAX(0, MIN(1, (28 - MAX(0, DATE(2026,10,22) - DATEVALUE(D42))) / 28))</f>
        <v/>
      </c>
      <c r="G42" s="28">
        <f>SUMIF(Erfasste_Truhen_Feed!C:C, B42, Erfasste_Truhen_Feed!F:F)</f>
        <v/>
      </c>
      <c r="H42" s="28">
        <f>IFERROR(VLOOKUP(B42, Turmbau_Tracker!B:E, 4, FALSE), 0)</f>
        <v/>
      </c>
      <c r="I42" s="28">
        <f>G42+H42</f>
        <v/>
      </c>
      <c r="J42" s="27">
        <f>IF(I42&gt;=F42, "Ja", "Nein")</f>
        <v/>
      </c>
    </row>
    <row r="43" ht="15" customHeight="1" s="18">
      <c r="A43" s="23" t="n">
        <v>42</v>
      </c>
      <c r="B43" s="23" t="inlineStr">
        <is>
          <t>Ayar</t>
        </is>
      </c>
      <c r="C43" s="23" t="inlineStr">
        <is>
          <t>Veteran</t>
        </is>
      </c>
      <c r="D43" s="34" t="inlineStr">
        <is>
          <t>22.10.2026</t>
        </is>
      </c>
      <c r="E43" s="23" t="inlineStr">
        <is>
          <t>Nein</t>
        </is>
      </c>
      <c r="F43" s="25">
        <f>IF(E43="Ja", 12500, 15000) * MAX(0, MIN(1, (28 - MAX(0, DATE(2026,10,22) - DATEVALUE(D43))) / 28))</f>
        <v/>
      </c>
      <c r="G43" s="25">
        <f>SUMIF(Erfasste_Truhen_Feed!C:C, B43, Erfasste_Truhen_Feed!F:F)</f>
        <v/>
      </c>
      <c r="H43" s="25">
        <f>IFERROR(VLOOKUP(B43, Turmbau_Tracker!B:E, 4, FALSE), 0)</f>
        <v/>
      </c>
      <c r="I43" s="25">
        <f>G43+H43</f>
        <v/>
      </c>
      <c r="J43" s="23">
        <f>IF(I43&gt;=F43, "Ja", "Nein")</f>
        <v/>
      </c>
    </row>
    <row r="44" ht="15" customHeight="1" s="18">
      <c r="A44" s="27" t="n">
        <v>43</v>
      </c>
      <c r="B44" s="27" t="inlineStr">
        <is>
          <t>BELEN</t>
        </is>
      </c>
      <c r="C44" s="27" t="inlineStr">
        <is>
          <t>Veteran</t>
        </is>
      </c>
      <c r="D44" s="34" t="inlineStr">
        <is>
          <t>22.10.2026</t>
        </is>
      </c>
      <c r="E44" s="27" t="inlineStr">
        <is>
          <t>Nein</t>
        </is>
      </c>
      <c r="F44" s="28">
        <f>IF(E44="Ja", 12500, 15000) * MAX(0, MIN(1, (28 - MAX(0, DATE(2026,10,22) - DATEVALUE(D44))) / 28))</f>
        <v/>
      </c>
      <c r="G44" s="28">
        <f>SUMIF(Erfasste_Truhen_Feed!C:C, B44, Erfasste_Truhen_Feed!F:F)</f>
        <v/>
      </c>
      <c r="H44" s="28">
        <f>IFERROR(VLOOKUP(B44, Turmbau_Tracker!B:E, 4, FALSE), 0)</f>
        <v/>
      </c>
      <c r="I44" s="28">
        <f>G44+H44</f>
        <v/>
      </c>
      <c r="J44" s="27">
        <f>IF(I44&gt;=F44, "Ja", "Nein")</f>
        <v/>
      </c>
    </row>
    <row r="45" ht="15" customHeight="1" s="18">
      <c r="A45" s="23" t="n">
        <v>44</v>
      </c>
      <c r="B45" s="23" t="inlineStr">
        <is>
          <t>Roula</t>
        </is>
      </c>
      <c r="C45" s="23" t="inlineStr">
        <is>
          <t>Veteran</t>
        </is>
      </c>
      <c r="D45" s="34" t="inlineStr">
        <is>
          <t>22.10.2026</t>
        </is>
      </c>
      <c r="E45" s="23" t="inlineStr">
        <is>
          <t>Nein</t>
        </is>
      </c>
      <c r="F45" s="25">
        <f>IF(E45="Ja", 12500, 15000) * MAX(0, MIN(1, (28 - MAX(0, DATE(2026,10,22) - DATEVALUE(D45))) / 28))</f>
        <v/>
      </c>
      <c r="G45" s="25">
        <f>SUMIF(Erfasste_Truhen_Feed!C:C, B45, Erfasste_Truhen_Feed!F:F)</f>
        <v/>
      </c>
      <c r="H45" s="25">
        <f>IFERROR(VLOOKUP(B45, Turmbau_Tracker!B:E, 4, FALSE), 0)</f>
        <v/>
      </c>
      <c r="I45" s="25">
        <f>G45+H45</f>
        <v/>
      </c>
      <c r="J45" s="23">
        <f>IF(I45&gt;=F45, "Ja", "Nein")</f>
        <v/>
      </c>
    </row>
    <row r="46" ht="15" customHeight="1" s="18">
      <c r="A46" s="27" t="n">
        <v>45</v>
      </c>
      <c r="B46" s="27" t="inlineStr">
        <is>
          <t>Sirius</t>
        </is>
      </c>
      <c r="C46" s="27" t="inlineStr">
        <is>
          <t>Veteran</t>
        </is>
      </c>
      <c r="D46" s="34" t="inlineStr">
        <is>
          <t>22.10.2026</t>
        </is>
      </c>
      <c r="E46" s="27" t="inlineStr">
        <is>
          <t>Nein</t>
        </is>
      </c>
      <c r="F46" s="28">
        <f>IF(E46="Ja", 12500, 15000) * MAX(0, MIN(1, (28 - MAX(0, DATE(2026,10,22) - DATEVALUE(D46))) / 28))</f>
        <v/>
      </c>
      <c r="G46" s="28">
        <f>SUMIF(Erfasste_Truhen_Feed!C:C, B46, Erfasste_Truhen_Feed!F:F)</f>
        <v/>
      </c>
      <c r="H46" s="28">
        <f>IFERROR(VLOOKUP(B46, Turmbau_Tracker!B:E, 4, FALSE), 0)</f>
        <v/>
      </c>
      <c r="I46" s="28">
        <f>G46+H46</f>
        <v/>
      </c>
      <c r="J46" s="27">
        <f>IF(I46&gt;=F46, "Ja", "Nein")</f>
        <v/>
      </c>
    </row>
    <row r="47" ht="15" customHeight="1" s="18">
      <c r="A47" s="23" t="n">
        <v>46</v>
      </c>
      <c r="B47" s="23" t="inlineStr">
        <is>
          <t>gaviiCABJ</t>
        </is>
      </c>
      <c r="C47" s="23" t="inlineStr">
        <is>
          <t>Veteran</t>
        </is>
      </c>
      <c r="D47" s="34" t="inlineStr">
        <is>
          <t>22.10.2026</t>
        </is>
      </c>
      <c r="E47" s="23" t="inlineStr">
        <is>
          <t>Nein</t>
        </is>
      </c>
      <c r="F47" s="25">
        <f>IF(E47="Ja", 12500, 15000) * MAX(0, MIN(1, (28 - MAX(0, DATE(2026,10,22) - DATEVALUE(D47))) / 28))</f>
        <v/>
      </c>
      <c r="G47" s="25">
        <f>SUMIF(Erfasste_Truhen_Feed!C:C, B47, Erfasste_Truhen_Feed!F:F)</f>
        <v/>
      </c>
      <c r="H47" s="25">
        <f>IFERROR(VLOOKUP(B47, Turmbau_Tracker!B:E, 4, FALSE), 0)</f>
        <v/>
      </c>
      <c r="I47" s="25">
        <f>G47+H47</f>
        <v/>
      </c>
      <c r="J47" s="23">
        <f>IF(I47&gt;=F47, "Ja", "Nein")</f>
        <v/>
      </c>
    </row>
    <row r="48" ht="15" customHeight="1" s="18">
      <c r="A48" s="27" t="n">
        <v>47</v>
      </c>
      <c r="B48" s="27" t="inlineStr">
        <is>
          <t>UNVSU</t>
        </is>
      </c>
      <c r="C48" s="27" t="inlineStr">
        <is>
          <t>Veteran</t>
        </is>
      </c>
      <c r="D48" s="34" t="inlineStr">
        <is>
          <t>22.10.2026</t>
        </is>
      </c>
      <c r="E48" s="27" t="inlineStr">
        <is>
          <t>Nein</t>
        </is>
      </c>
      <c r="F48" s="28">
        <f>IF(E48="Ja", 12500, 15000) * MAX(0, MIN(1, (28 - MAX(0, DATE(2026,10,22) - DATEVALUE(D48))) / 28))</f>
        <v/>
      </c>
      <c r="G48" s="28">
        <f>SUMIF(Erfasste_Truhen_Feed!C:C, B48, Erfasste_Truhen_Feed!F:F)</f>
        <v/>
      </c>
      <c r="H48" s="28">
        <f>IFERROR(VLOOKUP(B48, Turmbau_Tracker!B:E, 4, FALSE), 0)</f>
        <v/>
      </c>
      <c r="I48" s="28">
        <f>G48+H48</f>
        <v/>
      </c>
      <c r="J48" s="27">
        <f>IF(I48&gt;=F48, "Ja", "Nein")</f>
        <v/>
      </c>
    </row>
    <row r="49" ht="15" customHeight="1" s="18">
      <c r="A49" s="23" t="n">
        <v>48</v>
      </c>
      <c r="B49" s="23" t="inlineStr">
        <is>
          <t>Angelina38</t>
        </is>
      </c>
      <c r="C49" s="23" t="inlineStr">
        <is>
          <t>Veteran</t>
        </is>
      </c>
      <c r="D49" s="34" t="inlineStr">
        <is>
          <t>22.10.2026</t>
        </is>
      </c>
      <c r="E49" s="23" t="inlineStr">
        <is>
          <t>Nein</t>
        </is>
      </c>
      <c r="F49" s="25">
        <f>IF(E49="Ja", 12500, 15000) * MAX(0, MIN(1, (28 - MAX(0, DATE(2026,10,22) - DATEVALUE(D49))) / 28))</f>
        <v/>
      </c>
      <c r="G49" s="25">
        <f>SUMIF(Erfasste_Truhen_Feed!C:C, B49, Erfasste_Truhen_Feed!F:F)</f>
        <v/>
      </c>
      <c r="H49" s="25">
        <f>IFERROR(VLOOKUP(B49, Turmbau_Tracker!B:E, 4, FALSE), 0)</f>
        <v/>
      </c>
      <c r="I49" s="25">
        <f>G49+H49</f>
        <v/>
      </c>
      <c r="J49" s="23">
        <f>IF(I49&gt;=F49, "Ja", "Nein")</f>
        <v/>
      </c>
    </row>
    <row r="50" ht="15" customHeight="1" s="18">
      <c r="A50" s="27" t="n">
        <v>49</v>
      </c>
      <c r="B50" s="27" t="inlineStr">
        <is>
          <t>eroi</t>
        </is>
      </c>
      <c r="C50" s="27" t="inlineStr">
        <is>
          <t>Veteran</t>
        </is>
      </c>
      <c r="D50" s="34" t="inlineStr">
        <is>
          <t>22.10.2026</t>
        </is>
      </c>
      <c r="E50" s="27" t="inlineStr">
        <is>
          <t>Nein</t>
        </is>
      </c>
      <c r="F50" s="28">
        <f>IF(E50="Ja", 12500, 15000) * MAX(0, MIN(1, (28 - MAX(0, DATE(2026,10,22) - DATEVALUE(D50))) / 28))</f>
        <v/>
      </c>
      <c r="G50" s="28">
        <f>SUMIF(Erfasste_Truhen_Feed!C:C, B50, Erfasste_Truhen_Feed!F:F)</f>
        <v/>
      </c>
      <c r="H50" s="28">
        <f>IFERROR(VLOOKUP(B50, Turmbau_Tracker!B:E, 4, FALSE), 0)</f>
        <v/>
      </c>
      <c r="I50" s="28">
        <f>G50+H50</f>
        <v/>
      </c>
      <c r="J50" s="27">
        <f>IF(I50&gt;=F50, "Ja", "Nein")</f>
        <v/>
      </c>
    </row>
    <row r="51" ht="15" customHeight="1" s="18">
      <c r="A51" s="23" t="n">
        <v>50</v>
      </c>
      <c r="B51" s="23" t="inlineStr">
        <is>
          <t>King Slayer</t>
        </is>
      </c>
      <c r="C51" s="23" t="inlineStr">
        <is>
          <t>Veteran</t>
        </is>
      </c>
      <c r="D51" s="34" t="inlineStr">
        <is>
          <t>22.10.2026</t>
        </is>
      </c>
      <c r="E51" s="23" t="inlineStr">
        <is>
          <t>Nein</t>
        </is>
      </c>
      <c r="F51" s="25">
        <f>IF(E51="Ja", 12500, 15000) * MAX(0, MIN(1, (28 - MAX(0, DATE(2026,10,22) - DATEVALUE(D51))) / 28))</f>
        <v/>
      </c>
      <c r="G51" s="25">
        <f>SUMIF(Erfasste_Truhen_Feed!C:C, B51, Erfasste_Truhen_Feed!F:F)</f>
        <v/>
      </c>
      <c r="H51" s="25">
        <f>IFERROR(VLOOKUP(B51, Turmbau_Tracker!B:E, 4, FALSE), 0)</f>
        <v/>
      </c>
      <c r="I51" s="25">
        <f>G51+H51</f>
        <v/>
      </c>
      <c r="J51" s="23">
        <f>IF(I51&gt;=F51, "Ja", "Nein")</f>
        <v/>
      </c>
    </row>
    <row r="52" ht="15" customHeight="1" s="18">
      <c r="A52" s="27" t="n">
        <v>51</v>
      </c>
      <c r="B52" s="27" t="inlineStr">
        <is>
          <t>invisible</t>
        </is>
      </c>
      <c r="C52" s="27" t="inlineStr">
        <is>
          <t>Veteran</t>
        </is>
      </c>
      <c r="D52" s="34" t="inlineStr">
        <is>
          <t>22.10.2026</t>
        </is>
      </c>
      <c r="E52" s="27" t="inlineStr">
        <is>
          <t>Nein</t>
        </is>
      </c>
      <c r="F52" s="28">
        <f>IF(E52="Ja", 12500, 15000) * MAX(0, MIN(1, (28 - MAX(0, DATE(2026,10,22) - DATEVALUE(D52))) / 28))</f>
        <v/>
      </c>
      <c r="G52" s="28">
        <f>SUMIF(Erfasste_Truhen_Feed!C:C, B52, Erfasste_Truhen_Feed!F:F)</f>
        <v/>
      </c>
      <c r="H52" s="28">
        <f>IFERROR(VLOOKUP(B52, Turmbau_Tracker!B:E, 4, FALSE), 0)</f>
        <v/>
      </c>
      <c r="I52" s="28">
        <f>G52+H52</f>
        <v/>
      </c>
      <c r="J52" s="27">
        <f>IF(I52&gt;=F52, "Ja", "Nein")</f>
        <v/>
      </c>
    </row>
    <row r="53" ht="15" customHeight="1" s="18">
      <c r="A53" s="23" t="n">
        <v>52</v>
      </c>
      <c r="B53" s="23" t="inlineStr">
        <is>
          <t>Jamaman</t>
        </is>
      </c>
      <c r="C53" s="23" t="inlineStr">
        <is>
          <t>Veteran</t>
        </is>
      </c>
      <c r="D53" s="34" t="inlineStr">
        <is>
          <t>22.10.2026</t>
        </is>
      </c>
      <c r="E53" s="23" t="inlineStr">
        <is>
          <t>Nein</t>
        </is>
      </c>
      <c r="F53" s="25">
        <f>IF(E53="Ja", 12500, 15000) * MAX(0, MIN(1, (28 - MAX(0, DATE(2026,10,22) - DATEVALUE(D53))) / 28))</f>
        <v/>
      </c>
      <c r="G53" s="25">
        <f>SUMIF(Erfasste_Truhen_Feed!C:C, B53, Erfasste_Truhen_Feed!F:F)</f>
        <v/>
      </c>
      <c r="H53" s="25">
        <f>IFERROR(VLOOKUP(B53, Turmbau_Tracker!B:E, 4, FALSE), 0)</f>
        <v/>
      </c>
      <c r="I53" s="25">
        <f>G53+H53</f>
        <v/>
      </c>
      <c r="J53" s="23">
        <f>IF(I53&gt;=F53, "Ja", "Nein")</f>
        <v/>
      </c>
    </row>
    <row r="54" ht="15" customHeight="1" s="18">
      <c r="A54" s="27" t="n">
        <v>53</v>
      </c>
      <c r="B54" s="27" t="inlineStr">
        <is>
          <t>Maginad</t>
        </is>
      </c>
      <c r="C54" s="27" t="inlineStr">
        <is>
          <t>Veteran</t>
        </is>
      </c>
      <c r="D54" s="34" t="inlineStr">
        <is>
          <t>22.10.2026</t>
        </is>
      </c>
      <c r="E54" s="27" t="inlineStr">
        <is>
          <t>Nein</t>
        </is>
      </c>
      <c r="F54" s="28">
        <f>IF(E54="Ja", 12500, 15000) * MAX(0, MIN(1, (28 - MAX(0, DATE(2026,10,22) - DATEVALUE(D54))) / 28))</f>
        <v/>
      </c>
      <c r="G54" s="28">
        <f>SUMIF(Erfasste_Truhen_Feed!C:C, B54, Erfasste_Truhen_Feed!F:F)</f>
        <v/>
      </c>
      <c r="H54" s="28">
        <f>IFERROR(VLOOKUP(B54, Turmbau_Tracker!B:E, 4, FALSE), 0)</f>
        <v/>
      </c>
      <c r="I54" s="28">
        <f>G54+H54</f>
        <v/>
      </c>
      <c r="J54" s="27">
        <f>IF(I54&gt;=F54, "Ja", "Nein")</f>
        <v/>
      </c>
    </row>
    <row r="55" ht="15" customHeight="1" s="18">
      <c r="A55" s="23" t="n">
        <v>54</v>
      </c>
      <c r="B55" s="23" t="inlineStr">
        <is>
          <t>AyBars</t>
        </is>
      </c>
      <c r="C55" s="23" t="inlineStr">
        <is>
          <t>Veteran</t>
        </is>
      </c>
      <c r="D55" s="34" t="inlineStr">
        <is>
          <t>22.10.2026</t>
        </is>
      </c>
      <c r="E55" s="23" t="inlineStr">
        <is>
          <t>Nein</t>
        </is>
      </c>
      <c r="F55" s="25">
        <f>IF(E55="Ja", 12500, 15000) * MAX(0, MIN(1, (28 - MAX(0, DATE(2026,10,22) - DATEVALUE(D55))) / 28))</f>
        <v/>
      </c>
      <c r="G55" s="25">
        <f>SUMIF(Erfasste_Truhen_Feed!C:C, B55, Erfasste_Truhen_Feed!F:F)</f>
        <v/>
      </c>
      <c r="H55" s="25">
        <f>IFERROR(VLOOKUP(B55, Turmbau_Tracker!B:E, 4, FALSE), 0)</f>
        <v/>
      </c>
      <c r="I55" s="25">
        <f>G55+H55</f>
        <v/>
      </c>
      <c r="J55" s="23">
        <f>IF(I55&gt;=F55, "Ja", "Nein")</f>
        <v/>
      </c>
    </row>
    <row r="56" ht="15" customHeight="1" s="18">
      <c r="A56" s="27" t="n">
        <v>55</v>
      </c>
      <c r="B56" s="27" t="inlineStr">
        <is>
          <t>PABLUS</t>
        </is>
      </c>
      <c r="C56" s="27" t="inlineStr">
        <is>
          <t>Veteran</t>
        </is>
      </c>
      <c r="D56" s="34" t="inlineStr">
        <is>
          <t>22.10.2026</t>
        </is>
      </c>
      <c r="E56" s="27" t="inlineStr">
        <is>
          <t>Ja</t>
        </is>
      </c>
      <c r="F56" s="28">
        <f>IF(E56="Ja", 12500, 15000) * MAX(0, MIN(1, (28 - MAX(0, DATE(2026,10,22) - DATEVALUE(D56))) / 28))</f>
        <v/>
      </c>
      <c r="G56" s="28">
        <f>SUMIF(Erfasste_Truhen_Feed!C:C, B56, Erfasste_Truhen_Feed!F:F)</f>
        <v/>
      </c>
      <c r="H56" s="28">
        <f>IFERROR(VLOOKUP(B56, Turmbau_Tracker!B:E, 4, FALSE), 0)</f>
        <v/>
      </c>
      <c r="I56" s="28">
        <f>G56+H56</f>
        <v/>
      </c>
      <c r="J56" s="27">
        <f>IF(I56&gt;=F56, "Ja", "Nein")</f>
        <v/>
      </c>
    </row>
    <row r="57" ht="15" customHeight="1" s="18">
      <c r="A57" s="23" t="n">
        <v>56</v>
      </c>
      <c r="B57" s="23" t="inlineStr">
        <is>
          <t>Orodrafin</t>
        </is>
      </c>
      <c r="C57" s="23" t="inlineStr">
        <is>
          <t>Veteran</t>
        </is>
      </c>
      <c r="D57" s="34" t="inlineStr">
        <is>
          <t>22.10.2026</t>
        </is>
      </c>
      <c r="E57" s="23" t="inlineStr">
        <is>
          <t>Ja</t>
        </is>
      </c>
      <c r="F57" s="25">
        <f>IF(E57="Ja", 12500, 15000) * MAX(0, MIN(1, (28 - MAX(0, DATE(2026,10,22) - DATEVALUE(D57))) / 28))</f>
        <v/>
      </c>
      <c r="G57" s="25">
        <f>SUMIF(Erfasste_Truhen_Feed!C:C, B57, Erfasste_Truhen_Feed!F:F)</f>
        <v/>
      </c>
      <c r="H57" s="25">
        <f>IFERROR(VLOOKUP(B57, Turmbau_Tracker!B:E, 4, FALSE), 0)</f>
        <v/>
      </c>
      <c r="I57" s="25">
        <f>G57+H57</f>
        <v/>
      </c>
      <c r="J57" s="23">
        <f>IF(I57&gt;=F57, "Ja", "Nein")</f>
        <v/>
      </c>
    </row>
    <row r="58" ht="15" customHeight="1" s="18">
      <c r="A58" s="27" t="n">
        <v>57</v>
      </c>
      <c r="B58" s="27" t="inlineStr">
        <is>
          <t>Itachi</t>
        </is>
      </c>
      <c r="C58" s="27" t="inlineStr">
        <is>
          <t>Veteran</t>
        </is>
      </c>
      <c r="D58" s="34" t="inlineStr">
        <is>
          <t>22.10.2026</t>
        </is>
      </c>
      <c r="E58" s="27" t="inlineStr">
        <is>
          <t>Ja</t>
        </is>
      </c>
      <c r="F58" s="28">
        <f>IF(E58="Ja", 12500, 15000) * MAX(0, MIN(1, (28 - MAX(0, DATE(2026,10,22) - DATEVALUE(D58))) / 28))</f>
        <v/>
      </c>
      <c r="G58" s="28">
        <f>SUMIF(Erfasste_Truhen_Feed!C:C, B58, Erfasste_Truhen_Feed!F:F)</f>
        <v/>
      </c>
      <c r="H58" s="28">
        <f>IFERROR(VLOOKUP(B58, Turmbau_Tracker!B:E, 4, FALSE), 0)</f>
        <v/>
      </c>
      <c r="I58" s="28">
        <f>G58+H58</f>
        <v/>
      </c>
      <c r="J58" s="27">
        <f>IF(I58&gt;=F58, "Ja", "Nein")</f>
        <v/>
      </c>
    </row>
    <row r="59" ht="15" customHeight="1" s="18">
      <c r="A59" s="23" t="n">
        <v>58</v>
      </c>
      <c r="B59" s="23" t="inlineStr">
        <is>
          <t>Burigas</t>
        </is>
      </c>
      <c r="C59" s="23" t="inlineStr">
        <is>
          <t>Veteran</t>
        </is>
      </c>
      <c r="D59" s="34" t="inlineStr">
        <is>
          <t>22.10.2026</t>
        </is>
      </c>
      <c r="E59" s="23" t="inlineStr">
        <is>
          <t>Ja</t>
        </is>
      </c>
      <c r="F59" s="25">
        <f>IF(E59="Ja", 12500, 15000) * MAX(0, MIN(1, (28 - MAX(0, DATE(2026,10,22) - DATEVALUE(D59))) / 28))</f>
        <v/>
      </c>
      <c r="G59" s="25">
        <f>SUMIF(Erfasste_Truhen_Feed!C:C, B59, Erfasste_Truhen_Feed!F:F)</f>
        <v/>
      </c>
      <c r="H59" s="25">
        <f>IFERROR(VLOOKUP(B59, Turmbau_Tracker!B:E, 4, FALSE), 0)</f>
        <v/>
      </c>
      <c r="I59" s="25">
        <f>G59+H59</f>
        <v/>
      </c>
      <c r="J59" s="23">
        <f>IF(I59&gt;=F59, "Ja", "Nein")</f>
        <v/>
      </c>
    </row>
    <row r="60" ht="15" customHeight="1" s="18">
      <c r="A60" s="23" t="n">
        <v>59</v>
      </c>
      <c r="B60" s="23" t="inlineStr">
        <is>
          <t>Ayanin</t>
        </is>
      </c>
      <c r="C60" s="23" t="inlineStr">
        <is>
          <t>Veteran</t>
        </is>
      </c>
      <c r="D60" s="34" t="inlineStr">
        <is>
          <t>22.10.2026</t>
        </is>
      </c>
      <c r="E60" s="23" t="inlineStr">
        <is>
          <t>Ja</t>
        </is>
      </c>
      <c r="F60" s="25">
        <f>IF(E60="Ja", 12500, 15000) * MAX(0, MIN(1, (28 - MAX(0, DATE(2026,10,22) - DATEVALUE(D60))) / 28))</f>
        <v/>
      </c>
      <c r="G60" s="25">
        <f>SUMIF(Erfasste_Truhen_Feed!C:C, B60, Erfasste_Truhen_Feed!F:F)</f>
        <v/>
      </c>
      <c r="H60" s="25">
        <f>IFERROR(VLOOKUP(B60, Turmbau_Tracker!B:E, 4, FALSE), 0)</f>
        <v/>
      </c>
      <c r="I60" s="25">
        <f>G60+H60</f>
        <v/>
      </c>
      <c r="J60" s="23">
        <f>IF(I60&gt;=F60, "Ja", "Nein")</f>
        <v/>
      </c>
    </row>
    <row r="61" ht="15" customHeight="1" s="18">
      <c r="A61" s="27" t="n">
        <v>60</v>
      </c>
      <c r="B61" s="27" t="inlineStr">
        <is>
          <t>Greynelf</t>
        </is>
      </c>
      <c r="C61" s="27" t="inlineStr">
        <is>
          <t>Veteran</t>
        </is>
      </c>
      <c r="D61" s="34" t="inlineStr">
        <is>
          <t>22.10.2026</t>
        </is>
      </c>
      <c r="E61" s="27" t="inlineStr">
        <is>
          <t>Ja</t>
        </is>
      </c>
      <c r="F61" s="28">
        <f>IF(E61="Ja", 12500, 15000) * MAX(0, MIN(1, (28 - MAX(0, DATE(2026,10,22) - DATEVALUE(D61))) / 28))</f>
        <v/>
      </c>
      <c r="G61" s="28">
        <f>SUMIF(Erfasste_Truhen_Feed!C:C, B61, Erfasste_Truhen_Feed!F:F)</f>
        <v/>
      </c>
      <c r="H61" s="28">
        <f>IFERROR(VLOOKUP(B61, Turmbau_Tracker!B:E, 4, FALSE), 0)</f>
        <v/>
      </c>
      <c r="I61" s="28">
        <f>G61+H61</f>
        <v/>
      </c>
      <c r="J61" s="27">
        <f>IF(I61&gt;=F61, "Ja", "Nein")</f>
        <v/>
      </c>
    </row>
    <row r="62" ht="15" customHeight="1" s="18">
      <c r="A62" s="23" t="n">
        <v>61</v>
      </c>
      <c r="B62" s="23" t="inlineStr">
        <is>
          <t>Ria</t>
        </is>
      </c>
      <c r="C62" s="23" t="inlineStr">
        <is>
          <t>Veteran</t>
        </is>
      </c>
      <c r="D62" s="34" t="inlineStr">
        <is>
          <t>22.10.2026</t>
        </is>
      </c>
      <c r="E62" s="23" t="inlineStr">
        <is>
          <t>Ja</t>
        </is>
      </c>
      <c r="F62" s="25">
        <f>IF(E62="Ja", 12500, 15000) * MAX(0, MIN(1, (28 - MAX(0, DATE(2026,10,22) - DATEVALUE(D62))) / 28))</f>
        <v/>
      </c>
      <c r="G62" s="25">
        <f>SUMIF(Erfasste_Truhen_Feed!C:C, B62, Erfasste_Truhen_Feed!F:F)</f>
        <v/>
      </c>
      <c r="H62" s="25">
        <f>IFERROR(VLOOKUP(B62, Turmbau_Tracker!B:E, 4, FALSE), 0)</f>
        <v/>
      </c>
      <c r="I62" s="25">
        <f>G62+H62</f>
        <v/>
      </c>
      <c r="J62" s="23">
        <f>IF(I62&gt;=F62, "Ja", "Nein")</f>
        <v/>
      </c>
    </row>
    <row r="63" ht="15" customHeight="1" s="18">
      <c r="A63" s="23" t="n">
        <v>62</v>
      </c>
      <c r="B63" s="23" t="inlineStr">
        <is>
          <t>Vudorr</t>
        </is>
      </c>
      <c r="C63" s="23" t="inlineStr">
        <is>
          <t>Veteran</t>
        </is>
      </c>
      <c r="D63" s="34" t="inlineStr">
        <is>
          <t>22.10.2026</t>
        </is>
      </c>
      <c r="E63" s="23" t="inlineStr">
        <is>
          <t>Ja</t>
        </is>
      </c>
      <c r="F63" s="25">
        <f>IF(E63="Ja", 12500, 15000) * MAX(0, MIN(1, (28 - MAX(0, DATE(2026,10,22) - DATEVALUE(D63))) / 28))</f>
        <v/>
      </c>
      <c r="G63" s="25">
        <f>SUMIF(Erfasste_Truhen_Feed!C:C, B63, Erfasste_Truhen_Feed!F:F)</f>
        <v/>
      </c>
      <c r="H63" s="25">
        <f>IFERROR(VLOOKUP(B63, Turmbau_Tracker!B:E, 4, FALSE), 0)</f>
        <v/>
      </c>
      <c r="I63" s="25">
        <f>G63+H63</f>
        <v/>
      </c>
      <c r="J63" s="23">
        <f>IF(I63&gt;=F63, "Ja", "Nein")</f>
        <v/>
      </c>
    </row>
    <row r="64" ht="15" customHeight="1" s="18">
      <c r="A64" s="27" t="n">
        <v>63</v>
      </c>
      <c r="B64" s="27" t="inlineStr">
        <is>
          <t>Vudor SK6</t>
        </is>
      </c>
      <c r="C64" s="27" t="inlineStr">
        <is>
          <t>Veteran</t>
        </is>
      </c>
      <c r="D64" s="34" t="inlineStr">
        <is>
          <t>22.10.2026</t>
        </is>
      </c>
      <c r="E64" s="27" t="inlineStr">
        <is>
          <t>Nein</t>
        </is>
      </c>
      <c r="F64" s="28">
        <f>IF(E64="Ja", 12500, 15000) * MAX(0, MIN(1, (28 - MAX(0, DATE(2026,10,22) - DATEVALUE(D64))) / 28))</f>
        <v/>
      </c>
      <c r="G64" s="28">
        <f>SUMIF(Erfasste_Truhen_Feed!C:C, B64, Erfasste_Truhen_Feed!F:F)</f>
        <v/>
      </c>
      <c r="H64" s="28">
        <f>IFERROR(VLOOKUP(B64, Turmbau_Tracker!B:E, 4, FALSE), 0)</f>
        <v/>
      </c>
      <c r="I64" s="28">
        <f>G64+H64</f>
        <v/>
      </c>
      <c r="J64" s="27">
        <f>IF(I64&gt;=F64, "Ja", "Nein")</f>
        <v/>
      </c>
    </row>
    <row r="65" ht="15" customHeight="1" s="18">
      <c r="A65" s="31" t="n">
        <v>64</v>
      </c>
      <c r="B65" s="31" t="inlineStr">
        <is>
          <t>Sinem</t>
        </is>
      </c>
      <c r="C65" s="31" t="inlineStr">
        <is>
          <t>Veteran</t>
        </is>
      </c>
      <c r="D65" s="34" t="inlineStr">
        <is>
          <t>22.10.2026</t>
        </is>
      </c>
      <c r="E65" s="31" t="inlineStr">
        <is>
          <t>Ja</t>
        </is>
      </c>
      <c r="F65" s="31">
        <f>IF(E65="Ja", 12500, 15000) * MAX(0, MIN(1, (28 - MAX(0, DATE(2026,10,22) - DATEVALUE(D65))) / 28))</f>
        <v/>
      </c>
      <c r="G65" s="31">
        <f>SUMIF(Erfasste_Truhen_Feed!C:C, B65, Erfasste_Truhen_Feed!F:F)</f>
        <v/>
      </c>
      <c r="H65" s="31">
        <f>IFERROR(VLOOKUP(B65, Turmbau_Tracker!B:E, 4, FALSE), 0)</f>
        <v/>
      </c>
      <c r="I65" s="31">
        <f>G65+H65</f>
        <v/>
      </c>
      <c r="J65" s="31">
        <f>IF(I65&gt;=F65, "Ja", "Nein")</f>
        <v/>
      </c>
    </row>
    <row r="66" ht="15" customHeight="1" s="18">
      <c r="A66" s="23" t="n">
        <v>65</v>
      </c>
      <c r="B66" s="23" t="inlineStr">
        <is>
          <t>bjarr</t>
        </is>
      </c>
      <c r="C66" s="23" t="inlineStr">
        <is>
          <t>Soldat</t>
        </is>
      </c>
      <c r="D66" s="34" t="inlineStr">
        <is>
          <t>22.10.2026</t>
        </is>
      </c>
      <c r="E66" s="23" t="inlineStr">
        <is>
          <t>Nein</t>
        </is>
      </c>
      <c r="F66" s="25">
        <f>IF(E66="Ja", 12500, 15000) * MAX(0, MIN(1, (28 - MAX(0, DATE(2026,10,22) - DATEVALUE(D66))) / 28))</f>
        <v/>
      </c>
      <c r="G66" s="25">
        <f>SUMIF(Erfasste_Truhen_Feed!C:C, B66, Erfasste_Truhen_Feed!F:F)</f>
        <v/>
      </c>
      <c r="H66" s="25">
        <f>IFERROR(VLOOKUP(B66, Turmbau_Tracker!B:E, 4, FALSE), 0)</f>
        <v/>
      </c>
      <c r="I66" s="25">
        <f>G66+H66</f>
        <v/>
      </c>
      <c r="J66" s="23">
        <f>IF(I66&gt;=F66, "Ja", "Nein")</f>
        <v/>
      </c>
    </row>
    <row r="67" ht="15" customHeight="1" s="18">
      <c r="A67" s="27" t="n">
        <v>66</v>
      </c>
      <c r="B67" s="27" t="inlineStr">
        <is>
          <t>Lanfir</t>
        </is>
      </c>
      <c r="C67" s="27" t="inlineStr">
        <is>
          <t>Soldat</t>
        </is>
      </c>
      <c r="D67" s="34" t="inlineStr">
        <is>
          <t>22.10.2026</t>
        </is>
      </c>
      <c r="E67" s="27" t="inlineStr">
        <is>
          <t>Ja</t>
        </is>
      </c>
      <c r="F67" s="28">
        <f>IF(E67="Ja", 12500, 15000) * MAX(0, MIN(1, (28 - MAX(0, DATE(2026,10,22) - DATEVALUE(D67))) / 28))</f>
        <v/>
      </c>
      <c r="G67" s="28">
        <f>SUMIF(Erfasste_Truhen_Feed!C:C, B67, Erfasste_Truhen_Feed!F:F)</f>
        <v/>
      </c>
      <c r="H67" s="28">
        <f>IFERROR(VLOOKUP(B67, Turmbau_Tracker!B:E, 4, FALSE), 0)</f>
        <v/>
      </c>
      <c r="I67" s="28">
        <f>G67+H67</f>
        <v/>
      </c>
      <c r="J67" s="27">
        <f>IF(I67&gt;=F67, "Ja", "Nein")</f>
        <v/>
      </c>
    </row>
    <row r="68" ht="15" customHeight="1" s="18">
      <c r="A68" s="23" t="n">
        <v>67</v>
      </c>
      <c r="B68" s="23" t="inlineStr">
        <is>
          <t>Cologne am Rhein</t>
        </is>
      </c>
      <c r="C68" s="23" t="inlineStr">
        <is>
          <t>Soldat</t>
        </is>
      </c>
      <c r="D68" s="34" t="inlineStr">
        <is>
          <t>22.10.2026</t>
        </is>
      </c>
      <c r="E68" s="23" t="inlineStr">
        <is>
          <t>Nein</t>
        </is>
      </c>
      <c r="F68" s="25">
        <f>IF(E68="Ja", 12500, 15000) * MAX(0, MIN(1, (28 - MAX(0, DATE(2026,10,22) - DATEVALUE(D68))) / 28))</f>
        <v/>
      </c>
      <c r="G68" s="25">
        <f>SUMIF(Erfasste_Truhen_Feed!C:C, B68, Erfasste_Truhen_Feed!F:F)</f>
        <v/>
      </c>
      <c r="H68" s="25">
        <f>IFERROR(VLOOKUP(B68, Turmbau_Tracker!B:E, 4, FALSE), 0)</f>
        <v/>
      </c>
      <c r="I68" s="25">
        <f>G68+H68</f>
        <v/>
      </c>
      <c r="J68" s="23">
        <f>IF(I68&gt;=F68, "Ja", "Nein")</f>
        <v/>
      </c>
    </row>
    <row r="69" ht="15" customHeight="1" s="18">
      <c r="A69" s="23" t="n">
        <v>68</v>
      </c>
      <c r="B69" s="23" t="inlineStr">
        <is>
          <t>SaturdayNightFever</t>
        </is>
      </c>
      <c r="C69" s="23" t="inlineStr">
        <is>
          <t>Soldat</t>
        </is>
      </c>
      <c r="D69" s="34" t="inlineStr">
        <is>
          <t>22.10.2026</t>
        </is>
      </c>
      <c r="E69" s="23" t="inlineStr">
        <is>
          <t>Nein</t>
        </is>
      </c>
      <c r="F69" s="25">
        <f>IF(E69="Ja", 12500, 15000) * MAX(0, MIN(1, (28 - MAX(0, DATE(2026,10,22) - DATEVALUE(D69))) / 28))</f>
        <v/>
      </c>
      <c r="G69" s="25">
        <f>SUMIF(Erfasste_Truhen_Feed!C:C, B69, Erfasste_Truhen_Feed!F:F)</f>
        <v/>
      </c>
      <c r="H69" s="25">
        <f>IFERROR(VLOOKUP(B69, Turmbau_Tracker!B:E, 4, FALSE), 0)</f>
        <v/>
      </c>
      <c r="I69" s="25">
        <f>G69+H69</f>
        <v/>
      </c>
      <c r="J69" s="23">
        <f>IF(I69&gt;=F69, "Ja", "Nein")</f>
        <v/>
      </c>
    </row>
    <row r="70" ht="15" customHeight="1" s="18">
      <c r="A70" s="27" t="n">
        <v>69</v>
      </c>
      <c r="B70" s="27" t="inlineStr">
        <is>
          <t>eroi2</t>
        </is>
      </c>
      <c r="C70" s="27" t="inlineStr">
        <is>
          <t>Soldat</t>
        </is>
      </c>
      <c r="D70" s="34" t="inlineStr">
        <is>
          <t>22.10.2026</t>
        </is>
      </c>
      <c r="E70" s="27" t="inlineStr">
        <is>
          <t>Ja</t>
        </is>
      </c>
      <c r="F70" s="28">
        <f>IF(E70="Ja", 12500, 15000) * MAX(0, MIN(1, (28 - MAX(0, DATE(2026,10,22) - DATEVALUE(D70))) / 28))</f>
        <v/>
      </c>
      <c r="G70" s="28">
        <f>SUMIF(Erfasste_Truhen_Feed!C:C, B70, Erfasste_Truhen_Feed!F:F)</f>
        <v/>
      </c>
      <c r="H70" s="28">
        <f>IFERROR(VLOOKUP(B70, Turmbau_Tracker!B:E, 4, FALSE), 0)</f>
        <v/>
      </c>
      <c r="I70" s="28">
        <f>G70+H70</f>
        <v/>
      </c>
      <c r="J70" s="27">
        <f>IF(I70&gt;=F70, "Ja", "Nein")</f>
        <v/>
      </c>
    </row>
    <row r="71" ht="15" customHeight="1" s="18">
      <c r="A71" s="23" t="n">
        <v>70</v>
      </c>
      <c r="B71" s="23" t="inlineStr">
        <is>
          <t>Que</t>
        </is>
      </c>
      <c r="C71" s="23" t="inlineStr">
        <is>
          <t>Soldat</t>
        </is>
      </c>
      <c r="D71" s="34" t="inlineStr">
        <is>
          <t>22.10.2026</t>
        </is>
      </c>
      <c r="E71" s="23" t="inlineStr">
        <is>
          <t>Nein</t>
        </is>
      </c>
      <c r="F71" s="25">
        <f>IF(E71="Ja", 12500, 15000) * MAX(0, MIN(1, (28 - MAX(0, DATE(2026,10,22) - DATEVALUE(D71))) / 28))</f>
        <v/>
      </c>
      <c r="G71" s="25">
        <f>SUMIF(Erfasste_Truhen_Feed!C:C, B71, Erfasste_Truhen_Feed!F:F)</f>
        <v/>
      </c>
      <c r="H71" s="25">
        <f>IFERROR(VLOOKUP(B71, Turmbau_Tracker!B:E, 4, FALSE), 0)</f>
        <v/>
      </c>
      <c r="I71" s="25">
        <f>G71+H71</f>
        <v/>
      </c>
      <c r="J71" s="23">
        <f>IF(I71&gt;=F71, "Ja", "Nein")</f>
        <v/>
      </c>
    </row>
    <row r="72" ht="15" customHeight="1" s="18">
      <c r="A72" s="27" t="n">
        <v>71</v>
      </c>
      <c r="B72" s="27" t="inlineStr">
        <is>
          <t>Gigi</t>
        </is>
      </c>
      <c r="C72" s="27" t="inlineStr">
        <is>
          <t>Soldat</t>
        </is>
      </c>
      <c r="D72" s="34" t="inlineStr">
        <is>
          <t>22.10.2026</t>
        </is>
      </c>
      <c r="E72" s="27" t="inlineStr">
        <is>
          <t>Nein</t>
        </is>
      </c>
      <c r="F72" s="28">
        <f>IF(E72="Ja", 12500, 15000) * MAX(0, MIN(1, (28 - MAX(0, DATE(2026,10,22) - DATEVALUE(D72))) / 28))</f>
        <v/>
      </c>
      <c r="G72" s="28">
        <f>SUMIF(Erfasste_Truhen_Feed!C:C, B72, Erfasste_Truhen_Feed!F:F)</f>
        <v/>
      </c>
      <c r="H72" s="28">
        <f>IFERROR(VLOOKUP(B72, Turmbau_Tracker!B:E, 4, FALSE), 0)</f>
        <v/>
      </c>
      <c r="I72" s="28">
        <f>G72+H72</f>
        <v/>
      </c>
      <c r="J72" s="27">
        <f>IF(I72&gt;=F72, "Ja", "Nein")</f>
        <v/>
      </c>
    </row>
    <row r="73" ht="15" customHeight="1" s="18"/>
    <row r="74" ht="15" customHeight="1" s="18"/>
    <row r="75" ht="15" customHeight="1" s="18"/>
    <row r="76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73" customWidth="1" style="17" min="1" max="1"/>
    <col width="24" customWidth="1" style="17" min="2" max="2"/>
    <col width="18" customWidth="1" style="17" min="3" max="3"/>
    <col width="27" customWidth="1" style="17" min="4" max="4"/>
    <col width="34" customWidth="1" style="17" min="5" max="5"/>
  </cols>
  <sheetData>
    <row r="1" ht="15" customHeight="1" s="18">
      <c r="A1" s="21" t="inlineStr">
        <is>
          <t>ID</t>
        </is>
      </c>
      <c r="B1" s="21" t="inlineStr">
        <is>
          <t>Spielername</t>
        </is>
      </c>
      <c r="C1" s="21" t="inlineStr">
        <is>
          <t>Rang</t>
        </is>
      </c>
      <c r="D1" s="21" t="inlineStr">
        <is>
          <t>Türme_Gebaut (Anzahl)</t>
        </is>
      </c>
      <c r="E1" s="21" t="inlineStr">
        <is>
          <t>Turmbau_Punkte (50 Pkt/Turm)</t>
        </is>
      </c>
    </row>
    <row r="2">
      <c r="A2" s="23" t="n">
        <v>1</v>
      </c>
      <c r="B2" s="23" t="inlineStr">
        <is>
          <t>LegatusLabienus</t>
        </is>
      </c>
      <c r="C2" s="23" t="inlineStr">
        <is>
          <t>Anführer</t>
        </is>
      </c>
      <c r="D2" s="25" t="n">
        <v>0</v>
      </c>
      <c r="E2" s="25">
        <f>D2*50</f>
        <v/>
      </c>
    </row>
    <row r="3" ht="15" customHeight="1" s="18">
      <c r="A3" s="27" t="n">
        <v>2</v>
      </c>
      <c r="B3" s="27" t="inlineStr">
        <is>
          <t>man of war</t>
        </is>
      </c>
      <c r="C3" s="27" t="inlineStr">
        <is>
          <t>Vorgesetzter</t>
        </is>
      </c>
      <c r="D3" s="28" t="n">
        <v>0</v>
      </c>
      <c r="E3" s="28">
        <f>D3*50</f>
        <v/>
      </c>
    </row>
    <row r="4" ht="15" customHeight="1" s="18">
      <c r="A4" s="23" t="n">
        <v>3</v>
      </c>
      <c r="B4" s="23" t="inlineStr">
        <is>
          <t>Miss Dire</t>
        </is>
      </c>
      <c r="C4" s="23" t="inlineStr">
        <is>
          <t>Vorgesetzter</t>
        </is>
      </c>
      <c r="D4" s="25" t="n">
        <v>0</v>
      </c>
      <c r="E4" s="25">
        <f>D4*50</f>
        <v/>
      </c>
    </row>
    <row r="5" ht="15" customHeight="1" s="18">
      <c r="A5" s="27" t="n">
        <v>4</v>
      </c>
      <c r="B5" s="27" t="inlineStr">
        <is>
          <t>WYSIWYG</t>
        </is>
      </c>
      <c r="C5" s="27" t="inlineStr">
        <is>
          <t>Vorgesetzter</t>
        </is>
      </c>
      <c r="D5" s="28" t="n">
        <v>0</v>
      </c>
      <c r="E5" s="28">
        <f>D5*50</f>
        <v/>
      </c>
    </row>
    <row r="6" ht="15" customHeight="1" s="18">
      <c r="A6" s="23" t="n">
        <v>5</v>
      </c>
      <c r="B6" s="23" t="inlineStr">
        <is>
          <t>LedZep2</t>
        </is>
      </c>
      <c r="C6" s="23" t="inlineStr">
        <is>
          <t>Vorgesetzter</t>
        </is>
      </c>
      <c r="D6" s="25" t="n">
        <v>0</v>
      </c>
      <c r="E6" s="25">
        <f>D6*50</f>
        <v/>
      </c>
    </row>
    <row r="7" ht="15" customHeight="1" s="18">
      <c r="A7" s="27" t="n">
        <v>6</v>
      </c>
      <c r="B7" s="27" t="inlineStr">
        <is>
          <t>Frederico Freitas</t>
        </is>
      </c>
      <c r="C7" s="27" t="inlineStr">
        <is>
          <t>Vorgesetzter</t>
        </is>
      </c>
      <c r="D7" s="28" t="n">
        <v>0</v>
      </c>
      <c r="E7" s="28">
        <f>D7*50</f>
        <v/>
      </c>
    </row>
    <row r="8" ht="15" customHeight="1" s="18">
      <c r="A8" s="23" t="n">
        <v>7</v>
      </c>
      <c r="B8" s="23" t="inlineStr">
        <is>
          <t>Rainha de Copas</t>
        </is>
      </c>
      <c r="C8" s="23" t="inlineStr">
        <is>
          <t>Vorgesetzter</t>
        </is>
      </c>
      <c r="D8" s="25" t="n">
        <v>0</v>
      </c>
      <c r="E8" s="25">
        <f>D8*50</f>
        <v/>
      </c>
    </row>
    <row r="9" ht="15" customHeight="1" s="18">
      <c r="A9" s="27" t="n">
        <v>8</v>
      </c>
      <c r="B9" s="27" t="inlineStr">
        <is>
          <t>kikito</t>
        </is>
      </c>
      <c r="C9" s="27" t="inlineStr">
        <is>
          <t>Vorgesetzter</t>
        </is>
      </c>
      <c r="D9" s="28" t="n">
        <v>0</v>
      </c>
      <c r="E9" s="28">
        <f>D9*50</f>
        <v/>
      </c>
    </row>
    <row r="10" ht="15" customHeight="1" s="18">
      <c r="A10" s="23" t="n">
        <v>9</v>
      </c>
      <c r="B10" s="23" t="inlineStr">
        <is>
          <t>Parvus 51</t>
        </is>
      </c>
      <c r="C10" s="23" t="inlineStr">
        <is>
          <t>Offizier</t>
        </is>
      </c>
      <c r="D10" s="25" t="n">
        <v>0</v>
      </c>
      <c r="E10" s="25">
        <f>D10*50</f>
        <v/>
      </c>
    </row>
    <row r="11" ht="15" customHeight="1" s="18">
      <c r="A11" s="27" t="n">
        <v>10</v>
      </c>
      <c r="B11" s="27" t="inlineStr">
        <is>
          <t>Delalen</t>
        </is>
      </c>
      <c r="C11" s="27" t="inlineStr">
        <is>
          <t>Offizier</t>
        </is>
      </c>
      <c r="D11" s="28" t="n">
        <v>0</v>
      </c>
      <c r="E11" s="28">
        <f>D11*50</f>
        <v/>
      </c>
    </row>
    <row r="12" ht="15" customHeight="1" s="18">
      <c r="A12" s="23" t="n">
        <v>11</v>
      </c>
      <c r="B12" s="23" t="inlineStr">
        <is>
          <t>Loki</t>
        </is>
      </c>
      <c r="C12" s="23" t="inlineStr">
        <is>
          <t>Offizier</t>
        </is>
      </c>
      <c r="D12" s="25" t="n">
        <v>0</v>
      </c>
      <c r="E12" s="25">
        <f>D12*50</f>
        <v/>
      </c>
    </row>
    <row r="13" ht="15" customHeight="1" s="18">
      <c r="A13" s="27" t="n">
        <v>12</v>
      </c>
      <c r="B13" s="27" t="inlineStr">
        <is>
          <t>Gran Rex</t>
        </is>
      </c>
      <c r="C13" s="27" t="inlineStr">
        <is>
          <t>Offizier</t>
        </is>
      </c>
      <c r="D13" s="28" t="n">
        <v>0</v>
      </c>
      <c r="E13" s="28">
        <f>D13*50</f>
        <v/>
      </c>
    </row>
    <row r="14" ht="15" customHeight="1" s="18">
      <c r="A14" s="23" t="n">
        <v>13</v>
      </c>
      <c r="B14" s="23" t="inlineStr">
        <is>
          <t>TECH</t>
        </is>
      </c>
      <c r="C14" s="23" t="inlineStr">
        <is>
          <t>Offizier</t>
        </is>
      </c>
      <c r="D14" s="25" t="n">
        <v>0</v>
      </c>
      <c r="E14" s="25">
        <f>D14*50</f>
        <v/>
      </c>
    </row>
    <row r="15" ht="15" customHeight="1" s="18">
      <c r="A15" s="27" t="n">
        <v>14</v>
      </c>
      <c r="B15" s="27" t="inlineStr">
        <is>
          <t>Son Of Algéri</t>
        </is>
      </c>
      <c r="C15" s="27" t="inlineStr">
        <is>
          <t>Offizier</t>
        </is>
      </c>
      <c r="D15" s="28" t="n">
        <v>0</v>
      </c>
      <c r="E15" s="28">
        <f>D15*50</f>
        <v/>
      </c>
    </row>
    <row r="16" ht="15" customHeight="1" s="18">
      <c r="A16" s="23" t="n">
        <v>15</v>
      </c>
      <c r="B16" s="23" t="inlineStr">
        <is>
          <t>Goll</t>
        </is>
      </c>
      <c r="C16" s="23" t="inlineStr">
        <is>
          <t>Offizier</t>
        </is>
      </c>
      <c r="D16" s="25" t="n">
        <v>0</v>
      </c>
      <c r="E16" s="25">
        <f>D16*50</f>
        <v/>
      </c>
    </row>
    <row r="17" ht="15" customHeight="1" s="18">
      <c r="A17" s="27" t="n">
        <v>16</v>
      </c>
      <c r="B17" s="27" t="inlineStr">
        <is>
          <t>Tanmisis</t>
        </is>
      </c>
      <c r="C17" s="27" t="inlineStr">
        <is>
          <t>Veteran</t>
        </is>
      </c>
      <c r="D17" s="28" t="n">
        <v>0</v>
      </c>
      <c r="E17" s="28">
        <f>D17*50</f>
        <v/>
      </c>
    </row>
    <row r="18" ht="15" customHeight="1" s="18">
      <c r="A18" s="23" t="n">
        <v>17</v>
      </c>
      <c r="B18" s="23" t="inlineStr">
        <is>
          <t>Sir spanksALot</t>
        </is>
      </c>
      <c r="C18" s="23" t="inlineStr">
        <is>
          <t>Veteran</t>
        </is>
      </c>
      <c r="D18" s="25" t="n">
        <v>0</v>
      </c>
      <c r="E18" s="25">
        <f>D18*50</f>
        <v/>
      </c>
    </row>
    <row r="19" ht="15" customHeight="1" s="18">
      <c r="A19" s="27" t="n">
        <v>18</v>
      </c>
      <c r="B19" s="27" t="inlineStr">
        <is>
          <t>BAD Guo II</t>
        </is>
      </c>
      <c r="C19" s="27" t="inlineStr">
        <is>
          <t>Veteran</t>
        </is>
      </c>
      <c r="D19" s="28" t="n">
        <v>0</v>
      </c>
      <c r="E19" s="28">
        <f>D19*50</f>
        <v/>
      </c>
    </row>
    <row r="20" ht="15" customHeight="1" s="18">
      <c r="A20" s="23" t="n">
        <v>19</v>
      </c>
      <c r="B20" s="23" t="inlineStr">
        <is>
          <t>Riyash</t>
        </is>
      </c>
      <c r="C20" s="23" t="inlineStr">
        <is>
          <t>Veteran</t>
        </is>
      </c>
      <c r="D20" s="25" t="n">
        <v>0</v>
      </c>
      <c r="E20" s="25">
        <f>D20*50</f>
        <v/>
      </c>
    </row>
    <row r="21" ht="15" customHeight="1" s="18">
      <c r="A21" s="27" t="n">
        <v>20</v>
      </c>
      <c r="B21" s="27" t="inlineStr">
        <is>
          <t>Sir Charles</t>
        </is>
      </c>
      <c r="C21" s="27" t="inlineStr">
        <is>
          <t>Veteran</t>
        </is>
      </c>
      <c r="D21" s="28" t="n">
        <v>0</v>
      </c>
      <c r="E21" s="28">
        <f>D21*50</f>
        <v/>
      </c>
    </row>
    <row r="22" ht="15" customHeight="1" s="18">
      <c r="A22" s="23" t="n">
        <v>21</v>
      </c>
      <c r="B22" s="23" t="inlineStr">
        <is>
          <t>Manador II</t>
        </is>
      </c>
      <c r="C22" s="23" t="inlineStr">
        <is>
          <t>Veteran</t>
        </is>
      </c>
      <c r="D22" s="25" t="n">
        <v>0</v>
      </c>
      <c r="E22" s="25">
        <f>D22*50</f>
        <v/>
      </c>
    </row>
    <row r="23" ht="15" customHeight="1" s="18">
      <c r="A23" s="27" t="n">
        <v>22</v>
      </c>
      <c r="B23" s="27" t="inlineStr">
        <is>
          <t>Riyash CP CITY</t>
        </is>
      </c>
      <c r="C23" s="27" t="inlineStr">
        <is>
          <t>Veteran</t>
        </is>
      </c>
      <c r="D23" s="28" t="n">
        <v>0</v>
      </c>
      <c r="E23" s="28">
        <f>D23*50</f>
        <v/>
      </c>
    </row>
    <row r="24" ht="15" customHeight="1" s="18">
      <c r="A24" s="23" t="n">
        <v>23</v>
      </c>
      <c r="B24" s="23" t="inlineStr">
        <is>
          <t>Magellan</t>
        </is>
      </c>
      <c r="C24" s="23" t="inlineStr">
        <is>
          <t>Veteran</t>
        </is>
      </c>
      <c r="D24" s="25" t="n">
        <v>0</v>
      </c>
      <c r="E24" s="25">
        <f>D24*50</f>
        <v/>
      </c>
    </row>
    <row r="25" ht="15" customHeight="1" s="18">
      <c r="A25" s="27" t="n">
        <v>24</v>
      </c>
      <c r="B25" s="27" t="inlineStr">
        <is>
          <t>Explorer</t>
        </is>
      </c>
      <c r="C25" s="27" t="inlineStr">
        <is>
          <t>Veteran</t>
        </is>
      </c>
      <c r="D25" s="28" t="n">
        <v>0</v>
      </c>
      <c r="E25" s="28">
        <f>D25*50</f>
        <v/>
      </c>
    </row>
    <row r="26" ht="15" customHeight="1" s="18">
      <c r="A26" s="23" t="n">
        <v>25</v>
      </c>
      <c r="B26" s="23" t="inlineStr">
        <is>
          <t>Samy</t>
        </is>
      </c>
      <c r="C26" s="23" t="inlineStr">
        <is>
          <t>Veteran</t>
        </is>
      </c>
      <c r="D26" s="25" t="n">
        <v>0</v>
      </c>
      <c r="E26" s="25">
        <f>D26*50</f>
        <v/>
      </c>
    </row>
    <row r="27" ht="15" customHeight="1" s="18">
      <c r="A27" s="27" t="n">
        <v>26</v>
      </c>
      <c r="B27" s="27" t="inlineStr">
        <is>
          <t>DRACULA</t>
        </is>
      </c>
      <c r="C27" s="27" t="inlineStr">
        <is>
          <t>Veteran</t>
        </is>
      </c>
      <c r="D27" s="28" t="n">
        <v>0</v>
      </c>
      <c r="E27" s="28">
        <f>D27*50</f>
        <v/>
      </c>
    </row>
    <row r="28" ht="15" customHeight="1" s="18">
      <c r="A28" s="23" t="n">
        <v>27</v>
      </c>
      <c r="B28" s="23" t="inlineStr">
        <is>
          <t>Osoooo</t>
        </is>
      </c>
      <c r="C28" s="23" t="inlineStr">
        <is>
          <t>Veteran</t>
        </is>
      </c>
      <c r="D28" s="25" t="n">
        <v>0</v>
      </c>
      <c r="E28" s="25">
        <f>D28*50</f>
        <v/>
      </c>
    </row>
    <row r="29" ht="15" customHeight="1" s="18">
      <c r="A29" s="27" t="n">
        <v>28</v>
      </c>
      <c r="B29" s="27" t="inlineStr">
        <is>
          <t>bjar</t>
        </is>
      </c>
      <c r="C29" s="27" t="inlineStr">
        <is>
          <t>Veteran</t>
        </is>
      </c>
      <c r="D29" s="28" t="n">
        <v>0</v>
      </c>
      <c r="E29" s="28">
        <f>D29*50</f>
        <v/>
      </c>
    </row>
    <row r="30" ht="15" customHeight="1" s="18">
      <c r="A30" s="23" t="n">
        <v>29</v>
      </c>
      <c r="B30" s="23" t="inlineStr">
        <is>
          <t>Biin</t>
        </is>
      </c>
      <c r="C30" s="23" t="inlineStr">
        <is>
          <t>Veteran</t>
        </is>
      </c>
      <c r="D30" s="25" t="n">
        <v>0</v>
      </c>
      <c r="E30" s="25">
        <f>D30*50</f>
        <v/>
      </c>
    </row>
    <row r="31" ht="15" customHeight="1" s="18">
      <c r="A31" s="27" t="n">
        <v>30</v>
      </c>
      <c r="B31" s="27" t="inlineStr">
        <is>
          <t>Maem</t>
        </is>
      </c>
      <c r="C31" s="27" t="inlineStr">
        <is>
          <t>Veteran</t>
        </is>
      </c>
      <c r="D31" s="28" t="n">
        <v>0</v>
      </c>
      <c r="E31" s="28">
        <f>D31*50</f>
        <v/>
      </c>
    </row>
    <row r="32" ht="15" customHeight="1" s="18">
      <c r="A32" s="23" t="n">
        <v>31</v>
      </c>
      <c r="B32" s="23" t="inlineStr">
        <is>
          <t>Mojo</t>
        </is>
      </c>
      <c r="C32" s="23" t="inlineStr">
        <is>
          <t>Veteran</t>
        </is>
      </c>
      <c r="D32" s="25" t="n">
        <v>0</v>
      </c>
      <c r="E32" s="25">
        <f>D32*50</f>
        <v/>
      </c>
    </row>
    <row r="33" ht="15" customHeight="1" s="18">
      <c r="A33" s="27" t="n">
        <v>32</v>
      </c>
      <c r="B33" s="27" t="inlineStr">
        <is>
          <t>Kariel</t>
        </is>
      </c>
      <c r="C33" s="27" t="inlineStr">
        <is>
          <t>Veteran</t>
        </is>
      </c>
      <c r="D33" s="28" t="n">
        <v>0</v>
      </c>
      <c r="E33" s="28">
        <f>D33*50</f>
        <v/>
      </c>
    </row>
    <row r="34" ht="15" customHeight="1" s="18">
      <c r="A34" s="23" t="n">
        <v>33</v>
      </c>
      <c r="B34" s="23" t="inlineStr">
        <is>
          <t>Elginan</t>
        </is>
      </c>
      <c r="C34" s="23" t="inlineStr">
        <is>
          <t>Veteran</t>
        </is>
      </c>
      <c r="D34" s="25" t="n">
        <v>0</v>
      </c>
      <c r="E34" s="25">
        <f>D34*50</f>
        <v/>
      </c>
    </row>
    <row r="35" ht="15" customHeight="1" s="18">
      <c r="A35" s="27" t="n">
        <v>34</v>
      </c>
      <c r="B35" s="27" t="inlineStr">
        <is>
          <t>Auzar</t>
        </is>
      </c>
      <c r="C35" s="27" t="inlineStr">
        <is>
          <t>Veteran</t>
        </is>
      </c>
      <c r="D35" s="28" t="n">
        <v>0</v>
      </c>
      <c r="E35" s="28">
        <f>D35*50</f>
        <v/>
      </c>
    </row>
    <row r="36" ht="15" customHeight="1" s="18">
      <c r="A36" s="23" t="n">
        <v>35</v>
      </c>
      <c r="B36" s="23" t="inlineStr">
        <is>
          <t>Heimdall sk</t>
        </is>
      </c>
      <c r="C36" s="23" t="inlineStr">
        <is>
          <t>Veteran</t>
        </is>
      </c>
      <c r="D36" s="25" t="n">
        <v>0</v>
      </c>
      <c r="E36" s="25">
        <f>D36*50</f>
        <v/>
      </c>
    </row>
    <row r="37" ht="15" customHeight="1" s="18">
      <c r="A37" s="27" t="n">
        <v>36</v>
      </c>
      <c r="B37" s="27" t="inlineStr">
        <is>
          <t>Carruggi 5r</t>
        </is>
      </c>
      <c r="C37" s="27" t="inlineStr">
        <is>
          <t>Veteran</t>
        </is>
      </c>
      <c r="D37" s="28" t="n">
        <v>0</v>
      </c>
      <c r="E37" s="28">
        <f>D37*50</f>
        <v/>
      </c>
    </row>
    <row r="38" ht="15" customHeight="1" s="18">
      <c r="A38" s="23" t="n">
        <v>37</v>
      </c>
      <c r="B38" s="23" t="inlineStr">
        <is>
          <t>Dalas</t>
        </is>
      </c>
      <c r="C38" s="23" t="inlineStr">
        <is>
          <t>Veteran</t>
        </is>
      </c>
      <c r="D38" s="25" t="n">
        <v>0</v>
      </c>
      <c r="E38" s="25">
        <f>D38*50</f>
        <v/>
      </c>
    </row>
    <row r="39" ht="15" customHeight="1" s="18">
      <c r="A39" s="27" t="n">
        <v>38</v>
      </c>
      <c r="B39" s="27" t="inlineStr">
        <is>
          <t>ICHNOS</t>
        </is>
      </c>
      <c r="C39" s="27" t="inlineStr">
        <is>
          <t>Veteran</t>
        </is>
      </c>
      <c r="D39" s="28" t="n">
        <v>0</v>
      </c>
      <c r="E39" s="28">
        <f>D39*50</f>
        <v/>
      </c>
    </row>
    <row r="40" ht="15" customHeight="1" s="18">
      <c r="A40" s="23" t="n">
        <v>39</v>
      </c>
      <c r="B40" s="23" t="inlineStr">
        <is>
          <t>Lee the Ugly</t>
        </is>
      </c>
      <c r="C40" s="23" t="inlineStr">
        <is>
          <t>Veteran</t>
        </is>
      </c>
      <c r="D40" s="25" t="n">
        <v>0</v>
      </c>
      <c r="E40" s="25">
        <f>D40*50</f>
        <v/>
      </c>
    </row>
    <row r="41" ht="15" customHeight="1" s="18">
      <c r="A41" s="27" t="n">
        <v>40</v>
      </c>
      <c r="B41" s="27" t="inlineStr">
        <is>
          <t>kordy</t>
        </is>
      </c>
      <c r="C41" s="27" t="inlineStr">
        <is>
          <t>Veteran</t>
        </is>
      </c>
      <c r="D41" s="28" t="n">
        <v>0</v>
      </c>
      <c r="E41" s="28">
        <f>D41*50</f>
        <v/>
      </c>
    </row>
    <row r="42" ht="15" customHeight="1" s="18">
      <c r="A42" s="23" t="n">
        <v>41</v>
      </c>
      <c r="B42" s="23" t="inlineStr">
        <is>
          <t>Ajax</t>
        </is>
      </c>
      <c r="C42" s="23" t="inlineStr">
        <is>
          <t>Veteran</t>
        </is>
      </c>
      <c r="D42" s="25" t="n">
        <v>0</v>
      </c>
      <c r="E42" s="25">
        <f>D42*50</f>
        <v/>
      </c>
    </row>
    <row r="43" ht="15" customHeight="1" s="18">
      <c r="A43" s="27" t="n">
        <v>42</v>
      </c>
      <c r="B43" s="27" t="inlineStr">
        <is>
          <t>Granidred</t>
        </is>
      </c>
      <c r="C43" s="27" t="inlineStr">
        <is>
          <t>Veteran</t>
        </is>
      </c>
      <c r="D43" s="28" t="n">
        <v>0</v>
      </c>
      <c r="E43" s="28">
        <f>D43*50</f>
        <v/>
      </c>
    </row>
    <row r="44" ht="15" customHeight="1" s="18">
      <c r="A44" s="23" t="n">
        <v>43</v>
      </c>
      <c r="B44" s="23" t="inlineStr">
        <is>
          <t>Ayar</t>
        </is>
      </c>
      <c r="C44" s="23" t="inlineStr">
        <is>
          <t>Veteran</t>
        </is>
      </c>
      <c r="D44" s="25" t="n">
        <v>0</v>
      </c>
      <c r="E44" s="25">
        <f>D44*50</f>
        <v/>
      </c>
    </row>
    <row r="45" ht="15" customHeight="1" s="18">
      <c r="A45" s="27" t="n">
        <v>44</v>
      </c>
      <c r="B45" s="27" t="inlineStr">
        <is>
          <t>BELEN</t>
        </is>
      </c>
      <c r="C45" s="27" t="inlineStr">
        <is>
          <t>Veteran</t>
        </is>
      </c>
      <c r="D45" s="28" t="n">
        <v>0</v>
      </c>
      <c r="E45" s="28">
        <f>D45*50</f>
        <v/>
      </c>
    </row>
    <row r="46" ht="15" customHeight="1" s="18">
      <c r="A46" s="23" t="n">
        <v>45</v>
      </c>
      <c r="B46" s="23" t="inlineStr">
        <is>
          <t>Roula</t>
        </is>
      </c>
      <c r="C46" s="23" t="inlineStr">
        <is>
          <t>Veteran</t>
        </is>
      </c>
      <c r="D46" s="25" t="n">
        <v>0</v>
      </c>
      <c r="E46" s="25">
        <f>D46*50</f>
        <v/>
      </c>
    </row>
    <row r="47" ht="15" customHeight="1" s="18">
      <c r="A47" s="27" t="n">
        <v>46</v>
      </c>
      <c r="B47" s="27" t="inlineStr">
        <is>
          <t>Sirius</t>
        </is>
      </c>
      <c r="C47" s="27" t="inlineStr">
        <is>
          <t>Veteran</t>
        </is>
      </c>
      <c r="D47" s="28" t="n">
        <v>0</v>
      </c>
      <c r="E47" s="28">
        <f>D47*50</f>
        <v/>
      </c>
    </row>
    <row r="48" ht="15" customHeight="1" s="18">
      <c r="A48" s="23" t="n">
        <v>47</v>
      </c>
      <c r="B48" s="23" t="inlineStr">
        <is>
          <t>gaviiCABJ</t>
        </is>
      </c>
      <c r="C48" s="23" t="inlineStr">
        <is>
          <t>Veteran</t>
        </is>
      </c>
      <c r="D48" s="25" t="n">
        <v>0</v>
      </c>
      <c r="E48" s="25">
        <f>D48*50</f>
        <v/>
      </c>
    </row>
    <row r="49" ht="15" customHeight="1" s="18">
      <c r="A49" s="27" t="n">
        <v>48</v>
      </c>
      <c r="B49" s="27" t="inlineStr">
        <is>
          <t>UNVSU</t>
        </is>
      </c>
      <c r="C49" s="27" t="inlineStr">
        <is>
          <t>Veteran</t>
        </is>
      </c>
      <c r="D49" s="28" t="n">
        <v>0</v>
      </c>
      <c r="E49" s="28">
        <f>D49*50</f>
        <v/>
      </c>
    </row>
    <row r="50" ht="15" customHeight="1" s="18">
      <c r="A50" s="23" t="n">
        <v>49</v>
      </c>
      <c r="B50" s="23" t="inlineStr">
        <is>
          <t>Angelina38</t>
        </is>
      </c>
      <c r="C50" s="23" t="inlineStr">
        <is>
          <t>Veteran</t>
        </is>
      </c>
      <c r="D50" s="25" t="n">
        <v>0</v>
      </c>
      <c r="E50" s="25">
        <f>D50*50</f>
        <v/>
      </c>
    </row>
    <row r="51" ht="15" customHeight="1" s="18">
      <c r="A51" s="27" t="n">
        <v>50</v>
      </c>
      <c r="B51" s="27" t="inlineStr">
        <is>
          <t>eroi</t>
        </is>
      </c>
      <c r="C51" s="27" t="inlineStr">
        <is>
          <t>Veteran</t>
        </is>
      </c>
      <c r="D51" s="28" t="n">
        <v>0</v>
      </c>
      <c r="E51" s="28">
        <f>D51*50</f>
        <v/>
      </c>
    </row>
    <row r="52" ht="15" customHeight="1" s="18">
      <c r="A52" s="23" t="n">
        <v>51</v>
      </c>
      <c r="B52" s="23" t="inlineStr">
        <is>
          <t>King Slayer</t>
        </is>
      </c>
      <c r="C52" s="23" t="inlineStr">
        <is>
          <t>Veteran</t>
        </is>
      </c>
      <c r="D52" s="25" t="n">
        <v>0</v>
      </c>
      <c r="E52" s="25">
        <f>D52*50</f>
        <v/>
      </c>
    </row>
    <row r="53" ht="15" customHeight="1" s="18">
      <c r="A53" s="27" t="n">
        <v>52</v>
      </c>
      <c r="B53" s="27" t="inlineStr">
        <is>
          <t>invisible</t>
        </is>
      </c>
      <c r="C53" s="27" t="inlineStr">
        <is>
          <t>Veteran</t>
        </is>
      </c>
      <c r="D53" s="28" t="n">
        <v>0</v>
      </c>
      <c r="E53" s="28">
        <f>D53*50</f>
        <v/>
      </c>
    </row>
    <row r="54" ht="15" customHeight="1" s="18">
      <c r="A54" s="23" t="n">
        <v>53</v>
      </c>
      <c r="B54" s="23" t="inlineStr">
        <is>
          <t>Jamaman</t>
        </is>
      </c>
      <c r="C54" s="23" t="inlineStr">
        <is>
          <t>Veteran</t>
        </is>
      </c>
      <c r="D54" s="25" t="n">
        <v>0</v>
      </c>
      <c r="E54" s="25">
        <f>D54*50</f>
        <v/>
      </c>
    </row>
    <row r="55" ht="15" customHeight="1" s="18">
      <c r="A55" s="27" t="n">
        <v>54</v>
      </c>
      <c r="B55" s="27" t="inlineStr">
        <is>
          <t>Maginad</t>
        </is>
      </c>
      <c r="C55" s="27" t="inlineStr">
        <is>
          <t>Veteran</t>
        </is>
      </c>
      <c r="D55" s="28" t="n">
        <v>0</v>
      </c>
      <c r="E55" s="28">
        <f>D55*50</f>
        <v/>
      </c>
    </row>
    <row r="56" ht="15" customHeight="1" s="18">
      <c r="A56" s="23" t="n">
        <v>55</v>
      </c>
      <c r="B56" s="23" t="inlineStr">
        <is>
          <t>AyBars</t>
        </is>
      </c>
      <c r="C56" s="23" t="inlineStr">
        <is>
          <t>Veteran</t>
        </is>
      </c>
      <c r="D56" s="25" t="n">
        <v>0</v>
      </c>
      <c r="E56" s="25">
        <f>D56*50</f>
        <v/>
      </c>
    </row>
    <row r="57" ht="15" customHeight="1" s="18">
      <c r="A57" s="27" t="n">
        <v>56</v>
      </c>
      <c r="B57" s="27" t="inlineStr">
        <is>
          <t>PABLUS</t>
        </is>
      </c>
      <c r="C57" s="27" t="inlineStr">
        <is>
          <t>Veteran</t>
        </is>
      </c>
      <c r="D57" s="28" t="n">
        <v>0</v>
      </c>
      <c r="E57" s="28">
        <f>D57*50</f>
        <v/>
      </c>
    </row>
    <row r="58" ht="15" customHeight="1" s="18">
      <c r="A58" s="23" t="n">
        <v>57</v>
      </c>
      <c r="B58" s="23" t="inlineStr">
        <is>
          <t>Orodrafin</t>
        </is>
      </c>
      <c r="C58" s="23" t="inlineStr">
        <is>
          <t>Veteran</t>
        </is>
      </c>
      <c r="D58" s="25" t="n">
        <v>0</v>
      </c>
      <c r="E58" s="25">
        <f>D58*50</f>
        <v/>
      </c>
    </row>
    <row r="59" ht="15" customHeight="1" s="18">
      <c r="A59" s="27" t="n">
        <v>58</v>
      </c>
      <c r="B59" s="27" t="inlineStr">
        <is>
          <t>Itachi</t>
        </is>
      </c>
      <c r="C59" s="27" t="inlineStr">
        <is>
          <t>Veteran</t>
        </is>
      </c>
      <c r="D59" s="28" t="n">
        <v>0</v>
      </c>
      <c r="E59" s="28">
        <f>D59*50</f>
        <v/>
      </c>
    </row>
    <row r="60" ht="15" customHeight="1" s="18">
      <c r="A60" s="23" t="n">
        <v>59</v>
      </c>
      <c r="B60" s="23" t="inlineStr">
        <is>
          <t>Burigas</t>
        </is>
      </c>
      <c r="C60" s="23" t="inlineStr">
        <is>
          <t>Veteran</t>
        </is>
      </c>
      <c r="D60" s="25" t="n">
        <v>0</v>
      </c>
      <c r="E60" s="25">
        <f>D60*50</f>
        <v/>
      </c>
    </row>
    <row r="61" ht="15" customHeight="1" s="18">
      <c r="A61" s="27" t="n">
        <v>60</v>
      </c>
      <c r="B61" s="27" t="inlineStr">
        <is>
          <t>cezar1</t>
        </is>
      </c>
      <c r="C61" s="27" t="inlineStr">
        <is>
          <t>Veteran</t>
        </is>
      </c>
      <c r="D61" s="28" t="n">
        <v>0</v>
      </c>
      <c r="E61" s="28">
        <f>D61*50</f>
        <v/>
      </c>
    </row>
    <row r="62" ht="15" customHeight="1" s="18">
      <c r="A62" s="23" t="n">
        <v>61</v>
      </c>
      <c r="B62" s="23" t="inlineStr">
        <is>
          <t>Ayanin</t>
        </is>
      </c>
      <c r="C62" s="23" t="inlineStr">
        <is>
          <t>Veteran</t>
        </is>
      </c>
      <c r="D62" s="25" t="n">
        <v>0</v>
      </c>
      <c r="E62" s="25">
        <f>D62*50</f>
        <v/>
      </c>
    </row>
    <row r="63" ht="15" customHeight="1" s="18">
      <c r="A63" s="27" t="n">
        <v>62</v>
      </c>
      <c r="B63" s="27" t="inlineStr">
        <is>
          <t>Greynelf</t>
        </is>
      </c>
      <c r="C63" s="27" t="inlineStr">
        <is>
          <t>Veteran</t>
        </is>
      </c>
      <c r="D63" s="28" t="n">
        <v>0</v>
      </c>
      <c r="E63" s="28">
        <f>D63*50</f>
        <v/>
      </c>
    </row>
    <row r="64" ht="15" customHeight="1" s="18">
      <c r="A64" s="23" t="n">
        <v>63</v>
      </c>
      <c r="B64" s="23" t="inlineStr">
        <is>
          <t>Ria</t>
        </is>
      </c>
      <c r="C64" s="23" t="inlineStr">
        <is>
          <t>Veteran</t>
        </is>
      </c>
      <c r="D64" s="25" t="n">
        <v>0</v>
      </c>
      <c r="E64" s="25">
        <f>D64*50</f>
        <v/>
      </c>
    </row>
    <row r="65" ht="15" customHeight="1" s="18">
      <c r="A65" s="23" t="n">
        <v>64</v>
      </c>
      <c r="B65" s="23" t="inlineStr">
        <is>
          <t>Vudorr</t>
        </is>
      </c>
      <c r="C65" s="23" t="inlineStr">
        <is>
          <t>Veteran</t>
        </is>
      </c>
      <c r="D65" s="25" t="n">
        <v>0</v>
      </c>
      <c r="E65" s="25">
        <f>D65*50</f>
        <v/>
      </c>
    </row>
    <row r="66" ht="15" customHeight="1" s="18">
      <c r="A66" s="27" t="n">
        <v>65</v>
      </c>
      <c r="B66" s="27" t="inlineStr">
        <is>
          <t>Vudor SK6</t>
        </is>
      </c>
      <c r="C66" s="27" t="inlineStr">
        <is>
          <t>Veteran</t>
        </is>
      </c>
      <c r="D66" s="28" t="n">
        <v>0</v>
      </c>
      <c r="E66" s="28">
        <f>D66*50</f>
        <v/>
      </c>
    </row>
    <row r="67" ht="15" customHeight="1" s="18">
      <c r="A67" s="31" t="n">
        <v>66</v>
      </c>
      <c r="B67" s="31" t="inlineStr">
        <is>
          <t>Sinem</t>
        </is>
      </c>
      <c r="C67" s="31" t="inlineStr">
        <is>
          <t>Veteran</t>
        </is>
      </c>
      <c r="D67" s="31" t="n">
        <v>0</v>
      </c>
      <c r="E67" s="31">
        <f>D67*50</f>
        <v/>
      </c>
    </row>
    <row r="68" ht="15" customHeight="1" s="18">
      <c r="A68" s="23" t="n">
        <v>67</v>
      </c>
      <c r="B68" s="23" t="inlineStr">
        <is>
          <t>bjarr</t>
        </is>
      </c>
      <c r="C68" s="23" t="inlineStr">
        <is>
          <t>Soldat</t>
        </is>
      </c>
      <c r="D68" s="25" t="n">
        <v>0</v>
      </c>
      <c r="E68" s="25">
        <f>D68*50</f>
        <v/>
      </c>
    </row>
    <row r="69" ht="15" customHeight="1" s="18">
      <c r="A69" s="27" t="n">
        <v>68</v>
      </c>
      <c r="B69" s="27" t="inlineStr">
        <is>
          <t>Lanfir</t>
        </is>
      </c>
      <c r="C69" s="27" t="inlineStr">
        <is>
          <t>Soldat</t>
        </is>
      </c>
      <c r="D69" s="28" t="n">
        <v>0</v>
      </c>
      <c r="E69" s="28">
        <f>D69*50</f>
        <v/>
      </c>
    </row>
    <row r="70" ht="15" customHeight="1" s="18">
      <c r="A70" s="23" t="n">
        <v>69</v>
      </c>
      <c r="B70" s="23" t="inlineStr">
        <is>
          <t>Cologne am Rhein</t>
        </is>
      </c>
      <c r="C70" s="23" t="inlineStr">
        <is>
          <t>Soldat</t>
        </is>
      </c>
      <c r="D70" s="25" t="n">
        <v>0</v>
      </c>
      <c r="E70" s="25">
        <f>D70*50</f>
        <v/>
      </c>
    </row>
    <row r="71" ht="15" customHeight="1" s="18">
      <c r="A71" s="23" t="n">
        <v>70</v>
      </c>
      <c r="B71" s="23" t="inlineStr">
        <is>
          <t>SaturdayNightFever</t>
        </is>
      </c>
      <c r="C71" s="23" t="inlineStr">
        <is>
          <t>Soldat</t>
        </is>
      </c>
      <c r="D71" s="25" t="n">
        <v>0</v>
      </c>
      <c r="E71" s="25">
        <f>D71*50</f>
        <v/>
      </c>
    </row>
    <row r="72" ht="15" customHeight="1" s="18">
      <c r="A72" s="27" t="n">
        <v>71</v>
      </c>
      <c r="B72" s="27" t="inlineStr">
        <is>
          <t>eroi2</t>
        </is>
      </c>
      <c r="C72" s="27" t="inlineStr">
        <is>
          <t>Soldat</t>
        </is>
      </c>
      <c r="D72" s="28" t="n">
        <v>0</v>
      </c>
      <c r="E72" s="28">
        <f>D72*50</f>
        <v/>
      </c>
    </row>
    <row r="73" ht="15" customHeight="1" s="18">
      <c r="A73" s="23" t="n">
        <v>72</v>
      </c>
      <c r="B73" s="23" t="inlineStr">
        <is>
          <t>Que</t>
        </is>
      </c>
      <c r="C73" s="23" t="inlineStr">
        <is>
          <t>Soldat</t>
        </is>
      </c>
      <c r="D73" s="25" t="n">
        <v>0</v>
      </c>
      <c r="E73" s="25">
        <f>D73*50</f>
        <v/>
      </c>
    </row>
    <row r="74" ht="15" customHeight="1" s="18">
      <c r="A74" s="27" t="n">
        <v>73</v>
      </c>
      <c r="B74" s="27" t="inlineStr">
        <is>
          <t>Gigi</t>
        </is>
      </c>
      <c r="C74" s="27" t="inlineStr">
        <is>
          <t>Soldat</t>
        </is>
      </c>
      <c r="D74" s="28" t="n">
        <v>0</v>
      </c>
      <c r="E74" s="28">
        <f>D74*50</f>
        <v/>
      </c>
    </row>
    <row r="75" ht="15" customHeight="1" s="18"/>
    <row r="76" ht="15" customHeight="1" s="18"/>
    <row r="77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8"/>
  <sheetViews>
    <sheetView showFormulas="0" showGridLines="1" showRowColHeaders="1" showZeros="1" rightToLeft="0" tabSelected="0" showOutlineSymbols="1" defaultGridColor="1" view="normal" topLeftCell="A214" colorId="64" zoomScale="100" zoomScaleNormal="100" zoomScalePageLayoutView="100" workbookViewId="0">
      <selection pane="topLeft" activeCell="F227" activeCellId="0" sqref="F227"/>
    </sheetView>
  </sheetViews>
  <sheetFormatPr baseColWidth="8" defaultColWidth="8.54296875" defaultRowHeight="15" zeroHeight="0" outlineLevelRow="0"/>
  <cols>
    <col width="40" customWidth="1" style="17" min="1" max="1"/>
    <col width="18" customWidth="1" style="17" min="2" max="2"/>
    <col width="23" customWidth="1" style="17" min="3" max="3"/>
    <col width="39" customWidth="1" style="17" min="4" max="4"/>
    <col width="46" customWidth="1" style="17" min="5" max="5"/>
    <col width="18" customWidth="1" style="17" min="6" max="6"/>
  </cols>
  <sheetData>
    <row r="1" ht="15" customHeight="1" s="18">
      <c r="A1" s="21" t="inlineStr">
        <is>
          <t>Datum_Zeit</t>
        </is>
      </c>
      <c r="B1" s="21" t="inlineStr">
        <is>
          <t>Truhen_ID</t>
        </is>
      </c>
      <c r="C1" s="21" t="inlineStr">
        <is>
          <t>Spielername</t>
        </is>
      </c>
      <c r="D1" s="21" t="inlineStr">
        <is>
          <t>Kategorie_Truhenart</t>
        </is>
      </c>
      <c r="E1" s="21" t="inlineStr">
        <is>
          <t>Level_Typ</t>
        </is>
      </c>
      <c r="F1" s="21" t="inlineStr">
        <is>
          <t>Punkte_Wert</t>
        </is>
      </c>
    </row>
    <row r="2" ht="15" customHeight="1" s="18">
      <c r="A2" s="31" t="inlineStr">
        <is>
          <t>2026-10-23 01:43</t>
        </is>
      </c>
      <c r="B2" s="31" t="inlineStr">
        <is>
          <t>TR-003</t>
        </is>
      </c>
      <c r="C2" s="31" t="inlineStr">
        <is>
          <t>Son Of Algéri</t>
        </is>
      </c>
      <c r="D2" s="31" t="inlineStr">
        <is>
          <t>Infernale Truhe</t>
        </is>
      </c>
      <c r="E2" s="31" t="inlineStr">
        <is>
          <t>Gruft Level 10</t>
        </is>
      </c>
      <c r="F2" s="31" t="n">
        <v>0</v>
      </c>
    </row>
    <row r="3" ht="15" customHeight="1" s="18">
      <c r="A3" s="31" t="inlineStr">
        <is>
          <t>2026-10-23 01:44</t>
        </is>
      </c>
      <c r="B3" s="31" t="inlineStr">
        <is>
          <t>TR-004</t>
        </is>
      </c>
      <c r="C3" s="31" t="inlineStr">
        <is>
          <t>Gigi</t>
        </is>
      </c>
      <c r="D3" s="31" t="inlineStr">
        <is>
          <t>Infernale Truhe</t>
        </is>
      </c>
      <c r="E3" s="31" t="inlineStr">
        <is>
          <t>Gruft Level 20</t>
        </is>
      </c>
      <c r="F3" s="31" t="n">
        <v>20</v>
      </c>
    </row>
    <row r="4" ht="15" customHeight="1" s="18">
      <c r="A4" s="31" t="inlineStr">
        <is>
          <t>2026-10-23 01:44</t>
        </is>
      </c>
      <c r="B4" s="31" t="inlineStr">
        <is>
          <t>TR-005</t>
        </is>
      </c>
      <c r="C4" s="31" t="inlineStr">
        <is>
          <t>Sir Charles</t>
        </is>
      </c>
      <c r="D4" s="31" t="inlineStr">
        <is>
          <t>Unionstruhe</t>
        </is>
      </c>
      <c r="E4" s="31" t="inlineStr">
        <is>
          <t>Persönliche Belohnung</t>
        </is>
      </c>
      <c r="F4" s="31" t="n">
        <v>50</v>
      </c>
    </row>
    <row r="5" ht="15" customHeight="1" s="18">
      <c r="A5" s="31" t="inlineStr">
        <is>
          <t>2026-10-23 01:44</t>
        </is>
      </c>
      <c r="B5" s="31" t="inlineStr">
        <is>
          <t>TR-006</t>
        </is>
      </c>
      <c r="C5" s="31" t="inlineStr">
        <is>
          <t>PABLUS</t>
        </is>
      </c>
      <c r="D5" s="31" t="inlineStr">
        <is>
          <t>Vergessene Truhe</t>
        </is>
      </c>
      <c r="E5" s="31" t="inlineStr">
        <is>
          <t>Gruft Level 15</t>
        </is>
      </c>
      <c r="F5" s="31" t="n">
        <v>0</v>
      </c>
    </row>
    <row r="6" ht="15" customHeight="1" s="18">
      <c r="A6" s="31" t="inlineStr">
        <is>
          <t>2026-10-23 01:44</t>
        </is>
      </c>
      <c r="B6" s="31" t="inlineStr">
        <is>
          <t>TR-007</t>
        </is>
      </c>
      <c r="C6" s="31" t="inlineStr">
        <is>
          <t>Son Of Algéri</t>
        </is>
      </c>
      <c r="D6" s="31" t="inlineStr">
        <is>
          <t>Schöne Truhe</t>
        </is>
      </c>
      <c r="E6" s="31" t="inlineStr">
        <is>
          <t>Gruft Level 20</t>
        </is>
      </c>
      <c r="F6" s="31" t="n">
        <v>20</v>
      </c>
    </row>
    <row r="7" ht="15" customHeight="1" s="18">
      <c r="A7" s="31" t="inlineStr">
        <is>
          <t>2026-10-23 01:44</t>
        </is>
      </c>
      <c r="B7" s="31" t="inlineStr">
        <is>
          <t>TR-008</t>
        </is>
      </c>
      <c r="C7" s="31" t="inlineStr">
        <is>
          <t>PABLUS</t>
        </is>
      </c>
      <c r="D7" s="31" t="inlineStr">
        <is>
          <t>Gladiatorentruhe</t>
        </is>
      </c>
      <c r="E7" s="31" t="inlineStr">
        <is>
          <t>Arena</t>
        </is>
      </c>
      <c r="F7" s="31" t="n">
        <v>0</v>
      </c>
    </row>
    <row r="8" ht="15" customHeight="1" s="18">
      <c r="A8" s="31" t="inlineStr">
        <is>
          <t>2026-10-23 01:44</t>
        </is>
      </c>
      <c r="B8" s="31" t="inlineStr">
        <is>
          <t>TR-009</t>
        </is>
      </c>
      <c r="C8" s="31" t="inlineStr">
        <is>
          <t>Sir Charles</t>
        </is>
      </c>
      <c r="D8" s="31" t="inlineStr">
        <is>
          <t>Schöne Truhe</t>
        </is>
      </c>
      <c r="E8" s="31" t="inlineStr">
        <is>
          <t>Gruft Level 25</t>
        </is>
      </c>
      <c r="F8" s="31" t="n">
        <v>25</v>
      </c>
    </row>
    <row r="9" ht="15" customHeight="1" s="18">
      <c r="A9" s="31" t="inlineStr">
        <is>
          <t>2026-10-23 01:44</t>
        </is>
      </c>
      <c r="B9" s="31" t="inlineStr">
        <is>
          <t>TR-010</t>
        </is>
      </c>
      <c r="C9" s="31" t="inlineStr">
        <is>
          <t>Sir Charles</t>
        </is>
      </c>
      <c r="D9" s="31" t="inlineStr">
        <is>
          <t>Knochentruhe</t>
        </is>
      </c>
      <c r="E9" s="31" t="inlineStr">
        <is>
          <t>Gruft Level 25</t>
        </is>
      </c>
      <c r="F9" s="31" t="n">
        <v>25</v>
      </c>
    </row>
    <row r="10" ht="15" customHeight="1" s="18">
      <c r="A10" s="31" t="inlineStr">
        <is>
          <t>2026-10-23 01:44</t>
        </is>
      </c>
      <c r="B10" s="31" t="inlineStr">
        <is>
          <t>TR-011</t>
        </is>
      </c>
      <c r="C10" s="31" t="inlineStr">
        <is>
          <t>Goll</t>
        </is>
      </c>
      <c r="D10" s="31" t="inlineStr">
        <is>
          <t>Infernale Truhe</t>
        </is>
      </c>
      <c r="E10" s="31" t="inlineStr">
        <is>
          <t>Gruft Level 25</t>
        </is>
      </c>
      <c r="F10" s="31" t="n">
        <v>50</v>
      </c>
    </row>
    <row r="11" ht="15" customHeight="1" s="18">
      <c r="A11" s="31" t="inlineStr">
        <is>
          <t>2026-10-23 01:45</t>
        </is>
      </c>
      <c r="B11" s="31" t="inlineStr">
        <is>
          <t>TR-012</t>
        </is>
      </c>
      <c r="C11" s="31" t="inlineStr">
        <is>
          <t>PABLUS</t>
        </is>
      </c>
      <c r="D11" s="31" t="inlineStr">
        <is>
          <t>Feuertruhe</t>
        </is>
      </c>
      <c r="E11" s="31" t="inlineStr">
        <is>
          <t>Gruft Level 15</t>
        </is>
      </c>
      <c r="F11" s="31" t="n">
        <v>0</v>
      </c>
    </row>
    <row r="12" ht="15" customHeight="1" s="18">
      <c r="A12" s="31" t="inlineStr">
        <is>
          <t>2026-10-23 01:45</t>
        </is>
      </c>
      <c r="B12" s="31" t="inlineStr">
        <is>
          <t>TR-013</t>
        </is>
      </c>
      <c r="C12" s="31" t="inlineStr">
        <is>
          <t>Goll</t>
        </is>
      </c>
      <c r="D12" s="31" t="inlineStr">
        <is>
          <t>Truhe der Zwergen-Werkstatt</t>
        </is>
      </c>
      <c r="E12" s="31" t="inlineStr">
        <is>
          <t>Gruft Level 25</t>
        </is>
      </c>
      <c r="F12" s="31" t="n">
        <v>25</v>
      </c>
    </row>
    <row r="13" ht="15" customHeight="1" s="18">
      <c r="A13" s="31" t="inlineStr">
        <is>
          <t>2026-10-23 01:45</t>
        </is>
      </c>
      <c r="B13" s="31" t="inlineStr">
        <is>
          <t>TR-014</t>
        </is>
      </c>
      <c r="C13" s="31" t="inlineStr">
        <is>
          <t>Mojo</t>
        </is>
      </c>
      <c r="D13" s="31" t="inlineStr">
        <is>
          <t>Sandtruhe</t>
        </is>
      </c>
      <c r="E13" s="31" t="inlineStr">
        <is>
          <t>Gruft Level 25</t>
        </is>
      </c>
      <c r="F13" s="31" t="n">
        <v>25</v>
      </c>
    </row>
    <row r="14" ht="15" customHeight="1" s="18">
      <c r="A14" s="31" t="inlineStr">
        <is>
          <t>2026-10-23 01:45</t>
        </is>
      </c>
      <c r="B14" s="31" t="inlineStr">
        <is>
          <t>TR-015</t>
        </is>
      </c>
      <c r="C14" s="31" t="inlineStr">
        <is>
          <t>Elginan</t>
        </is>
      </c>
      <c r="D14" s="31" t="inlineStr">
        <is>
          <t>Knochentruhe</t>
        </is>
      </c>
      <c r="E14" s="31" t="inlineStr">
        <is>
          <t>Gruft Level 25</t>
        </is>
      </c>
      <c r="F14" s="31" t="n">
        <v>25</v>
      </c>
    </row>
    <row r="15" ht="15" customHeight="1" s="18">
      <c r="A15" s="31" t="inlineStr">
        <is>
          <t>2026-10-23 01:45</t>
        </is>
      </c>
      <c r="B15" s="31" t="inlineStr">
        <is>
          <t>TR-016</t>
        </is>
      </c>
      <c r="C15" s="31" t="inlineStr">
        <is>
          <t>Elginan</t>
        </is>
      </c>
      <c r="D15" s="31" t="inlineStr">
        <is>
          <t>Truhe der Maya</t>
        </is>
      </c>
      <c r="E15" s="31" t="inlineStr">
        <is>
          <t>Gruft Level 25</t>
        </is>
      </c>
      <c r="F15" s="31" t="n">
        <v>25</v>
      </c>
    </row>
    <row r="16" ht="15" customHeight="1" s="18">
      <c r="A16" s="31" t="inlineStr">
        <is>
          <t>2026-10-23 01:45</t>
        </is>
      </c>
      <c r="B16" s="31" t="inlineStr">
        <is>
          <t>TR-017</t>
        </is>
      </c>
      <c r="C16" s="31" t="inlineStr">
        <is>
          <t>Loki</t>
        </is>
      </c>
      <c r="D16" s="31" t="inlineStr">
        <is>
          <t>Steintruhe</t>
        </is>
      </c>
      <c r="E16" s="31" t="inlineStr">
        <is>
          <t>Gruft Level 25</t>
        </is>
      </c>
      <c r="F16" s="31" t="n">
        <v>25</v>
      </c>
    </row>
    <row r="17" ht="15" customHeight="1" s="18">
      <c r="A17" s="31" t="inlineStr">
        <is>
          <t>2026-10-23 01:45</t>
        </is>
      </c>
      <c r="B17" s="31" t="inlineStr">
        <is>
          <t>TR-018</t>
        </is>
      </c>
      <c r="C17" s="31" t="inlineStr">
        <is>
          <t>Auzar</t>
        </is>
      </c>
      <c r="D17" s="31" t="inlineStr">
        <is>
          <t>Saphir-Truhe</t>
        </is>
      </c>
      <c r="E17" s="31" t="inlineStr">
        <is>
          <t>Schatzkammer der Ahnen Level 35-39</t>
        </is>
      </c>
      <c r="F17" s="31" t="n">
        <v>50</v>
      </c>
    </row>
    <row r="18" ht="15" customHeight="1" s="18">
      <c r="A18" s="31" t="inlineStr">
        <is>
          <t>2026-10-23 01:45</t>
        </is>
      </c>
      <c r="B18" s="31" t="inlineStr">
        <is>
          <t>TR-019</t>
        </is>
      </c>
      <c r="C18" s="31" t="inlineStr">
        <is>
          <t>Elginan</t>
        </is>
      </c>
      <c r="D18" s="31" t="inlineStr">
        <is>
          <t>Truhe der Zwergen-Werkstatt</t>
        </is>
      </c>
      <c r="E18" s="31" t="inlineStr">
        <is>
          <t>Gruft Level 25</t>
        </is>
      </c>
      <c r="F18" s="31" t="n">
        <v>25</v>
      </c>
    </row>
    <row r="19" ht="15" customHeight="1" s="18">
      <c r="A19" s="31" t="inlineStr">
        <is>
          <t>2026-10-23 01:45</t>
        </is>
      </c>
      <c r="B19" s="31" t="inlineStr">
        <is>
          <t>TR-020</t>
        </is>
      </c>
      <c r="C19" s="31" t="inlineStr">
        <is>
          <t>Elginan</t>
        </is>
      </c>
      <c r="D19" s="31" t="inlineStr">
        <is>
          <t>Truhe der Maya</t>
        </is>
      </c>
      <c r="E19" s="31" t="inlineStr">
        <is>
          <t>Gruft Level 25</t>
        </is>
      </c>
      <c r="F19" s="31" t="n">
        <v>25</v>
      </c>
    </row>
    <row r="20" ht="15" customHeight="1" s="18">
      <c r="A20" s="31" t="inlineStr">
        <is>
          <t>2026-10-23 01:45</t>
        </is>
      </c>
      <c r="B20" s="31" t="inlineStr">
        <is>
          <t>TR-021</t>
        </is>
      </c>
      <c r="C20" s="31" t="inlineStr">
        <is>
          <t>Loki</t>
        </is>
      </c>
      <c r="D20" s="31" t="inlineStr">
        <is>
          <t>Steintruhe</t>
        </is>
      </c>
      <c r="E20" s="31" t="inlineStr">
        <is>
          <t>Gruft Level 25</t>
        </is>
      </c>
      <c r="F20" s="31" t="n">
        <v>25</v>
      </c>
    </row>
    <row r="21" ht="15" customHeight="1" s="18">
      <c r="A21" s="31" t="inlineStr">
        <is>
          <t>2026-10-23 01:45</t>
        </is>
      </c>
      <c r="B21" s="31" t="inlineStr">
        <is>
          <t>TR-022</t>
        </is>
      </c>
      <c r="C21" s="31" t="inlineStr">
        <is>
          <t>Auzar</t>
        </is>
      </c>
      <c r="D21" s="31" t="inlineStr">
        <is>
          <t>Saphir-Truhe</t>
        </is>
      </c>
      <c r="E21" s="31" t="inlineStr">
        <is>
          <t>Schatzkammer der Ahnen Level 35-39</t>
        </is>
      </c>
      <c r="F21" s="31" t="n">
        <v>50</v>
      </c>
    </row>
    <row r="22" ht="15" customHeight="1" s="18">
      <c r="A22" s="31" t="inlineStr">
        <is>
          <t>2026-10-23 01:45</t>
        </is>
      </c>
      <c r="B22" s="31" t="inlineStr">
        <is>
          <t>TR-023</t>
        </is>
      </c>
      <c r="C22" s="31" t="inlineStr">
        <is>
          <t>Loki</t>
        </is>
      </c>
      <c r="D22" s="31" t="inlineStr">
        <is>
          <t>Sandtruhe</t>
        </is>
      </c>
      <c r="E22" s="31" t="inlineStr">
        <is>
          <t>Gruft Level 25</t>
        </is>
      </c>
      <c r="F22" s="31" t="n">
        <v>25</v>
      </c>
    </row>
    <row r="23" ht="15" customHeight="1" s="18">
      <c r="A23" s="31" t="inlineStr">
        <is>
          <t>2026-10-23 01:45</t>
        </is>
      </c>
      <c r="B23" s="31" t="inlineStr">
        <is>
          <t>TR-024</t>
        </is>
      </c>
      <c r="C23" s="31" t="inlineStr">
        <is>
          <t>Loki</t>
        </is>
      </c>
      <c r="D23" s="31" t="inlineStr">
        <is>
          <t>Truhe der Zwergen-Werkstatt</t>
        </is>
      </c>
      <c r="E23" s="31" t="inlineStr">
        <is>
          <t>Gruft Level 25</t>
        </is>
      </c>
      <c r="F23" s="31" t="n">
        <v>25</v>
      </c>
    </row>
    <row r="24" ht="15" customHeight="1" s="18">
      <c r="A24" s="31" t="inlineStr">
        <is>
          <t>2026-10-23 01:45</t>
        </is>
      </c>
      <c r="B24" s="31" t="inlineStr">
        <is>
          <t>TR-025</t>
        </is>
      </c>
      <c r="C24" s="31" t="inlineStr">
        <is>
          <t>Auzar</t>
        </is>
      </c>
      <c r="D24" s="31" t="inlineStr">
        <is>
          <t>Sandtruhe</t>
        </is>
      </c>
      <c r="E24" s="31" t="inlineStr">
        <is>
          <t>Gruft Level 25</t>
        </is>
      </c>
      <c r="F24" s="31" t="n">
        <v>25</v>
      </c>
    </row>
    <row r="25" ht="15" customHeight="1" s="18">
      <c r="A25" s="31" t="inlineStr">
        <is>
          <t>2026-10-23 01:45</t>
        </is>
      </c>
      <c r="B25" s="31" t="inlineStr">
        <is>
          <t>TR-026</t>
        </is>
      </c>
      <c r="C25" s="31" t="inlineStr">
        <is>
          <t>Auzar</t>
        </is>
      </c>
      <c r="D25" s="31" t="inlineStr">
        <is>
          <t>Knochentruhe</t>
        </is>
      </c>
      <c r="E25" s="31" t="inlineStr">
        <is>
          <t>Gruft Level 25</t>
        </is>
      </c>
      <c r="F25" s="31" t="n">
        <v>25</v>
      </c>
    </row>
    <row r="26" ht="15" customHeight="1" s="18">
      <c r="A26" s="31" t="inlineStr">
        <is>
          <t>2026-10-23 01:45</t>
        </is>
      </c>
      <c r="B26" s="31" t="inlineStr">
        <is>
          <t>TR-027</t>
        </is>
      </c>
      <c r="C26" s="31" t="inlineStr">
        <is>
          <t>Miss Dire</t>
        </is>
      </c>
      <c r="D26" s="31" t="inlineStr">
        <is>
          <t>Unionstruhe</t>
        </is>
      </c>
      <c r="E26" s="31" t="inlineStr">
        <is>
          <t>Persönliche Belohnung Union des Triumphs</t>
        </is>
      </c>
      <c r="F26" s="31" t="n">
        <v>50</v>
      </c>
    </row>
    <row r="27" ht="15" customHeight="1" s="18">
      <c r="A27" s="31" t="inlineStr">
        <is>
          <t>2026-10-23 01:46</t>
        </is>
      </c>
      <c r="B27" s="31" t="inlineStr">
        <is>
          <t>TR-028</t>
        </is>
      </c>
      <c r="C27" s="31" t="inlineStr">
        <is>
          <t>Auzar</t>
        </is>
      </c>
      <c r="D27" s="31" t="inlineStr">
        <is>
          <t>Vergessene Truhe</t>
        </is>
      </c>
      <c r="E27" s="31" t="inlineStr">
        <is>
          <t>Gruft Level 25</t>
        </is>
      </c>
      <c r="F27" s="31" t="n">
        <v>25</v>
      </c>
    </row>
    <row r="28" ht="15" customHeight="1" s="18">
      <c r="A28" s="31" t="inlineStr">
        <is>
          <t>2026-10-23 01:46</t>
        </is>
      </c>
      <c r="B28" s="31" t="inlineStr">
        <is>
          <t>TR-029</t>
        </is>
      </c>
      <c r="C28" s="31" t="inlineStr">
        <is>
          <t>Loki</t>
        </is>
      </c>
      <c r="D28" s="31" t="inlineStr">
        <is>
          <t>Barbarentruhe</t>
        </is>
      </c>
      <c r="E28" s="31" t="inlineStr">
        <is>
          <t>Gruft Level 25</t>
        </is>
      </c>
      <c r="F28" s="31" t="n">
        <v>25</v>
      </c>
    </row>
    <row r="29" ht="15" customHeight="1" s="18">
      <c r="A29" s="31" t="inlineStr">
        <is>
          <t>2026-10-23 01:46</t>
        </is>
      </c>
      <c r="B29" s="31" t="inlineStr">
        <is>
          <t>TR-030</t>
        </is>
      </c>
      <c r="C29" s="31" t="inlineStr">
        <is>
          <t>Loki</t>
        </is>
      </c>
      <c r="D29" s="31" t="inlineStr">
        <is>
          <t>Knochentruhe</t>
        </is>
      </c>
      <c r="E29" s="31" t="inlineStr">
        <is>
          <t>Gruft Level 25</t>
        </is>
      </c>
      <c r="F29" s="31" t="n">
        <v>25</v>
      </c>
    </row>
    <row r="30" ht="15" customHeight="1" s="18">
      <c r="A30" s="31" t="inlineStr">
        <is>
          <t>2026-10-23 01:46</t>
        </is>
      </c>
      <c r="B30" s="31" t="inlineStr">
        <is>
          <t>TR-031</t>
        </is>
      </c>
      <c r="C30" s="31" t="inlineStr">
        <is>
          <t>Elginan</t>
        </is>
      </c>
      <c r="D30" s="31" t="inlineStr">
        <is>
          <t>Saphir-Truhe</t>
        </is>
      </c>
      <c r="E30" s="31" t="inlineStr">
        <is>
          <t>Schatzkammer der Ahnen Level 30-34</t>
        </is>
      </c>
      <c r="F30" s="31" t="n">
        <v>50</v>
      </c>
    </row>
    <row r="31" ht="15" customHeight="1" s="18">
      <c r="A31" s="31" t="inlineStr">
        <is>
          <t>2026-10-23 01:46</t>
        </is>
      </c>
      <c r="B31" s="31" t="inlineStr">
        <is>
          <t>TR-032</t>
        </is>
      </c>
      <c r="C31" s="31" t="inlineStr">
        <is>
          <t>Auzar</t>
        </is>
      </c>
      <c r="D31" s="31" t="inlineStr">
        <is>
          <t>Barbarentruhe</t>
        </is>
      </c>
      <c r="E31" s="31" t="inlineStr">
        <is>
          <t>Gruft Level 25</t>
        </is>
      </c>
      <c r="F31" s="31" t="n">
        <v>25</v>
      </c>
    </row>
    <row r="32" ht="15" customHeight="1" s="18">
      <c r="A32" s="31" t="inlineStr">
        <is>
          <t>2026-10-23 01:41</t>
        </is>
      </c>
      <c r="B32" s="31" t="inlineStr">
        <is>
          <t>TR-033</t>
        </is>
      </c>
      <c r="C32" s="31" t="inlineStr">
        <is>
          <t>Loki</t>
        </is>
      </c>
      <c r="D32" s="31" t="inlineStr">
        <is>
          <t>Barbarentruhe</t>
        </is>
      </c>
      <c r="E32" s="31" t="inlineStr">
        <is>
          <t>Gruft Level 25</t>
        </is>
      </c>
      <c r="F32" s="31" t="n">
        <v>25</v>
      </c>
    </row>
    <row r="33" ht="15" customHeight="1" s="18">
      <c r="A33" s="31" t="inlineStr">
        <is>
          <t>2026-10-23 01:43</t>
        </is>
      </c>
      <c r="B33" s="31" t="inlineStr">
        <is>
          <t>TR-034</t>
        </is>
      </c>
      <c r="C33" s="31" t="inlineStr">
        <is>
          <t>Loki</t>
        </is>
      </c>
      <c r="D33" s="31" t="inlineStr">
        <is>
          <t>Knochentruhe</t>
        </is>
      </c>
      <c r="E33" s="31" t="inlineStr">
        <is>
          <t>Gruft Level 25</t>
        </is>
      </c>
      <c r="F33" s="31" t="n">
        <v>25</v>
      </c>
    </row>
    <row r="34" ht="15" customHeight="1" s="18">
      <c r="A34" s="31" t="inlineStr">
        <is>
          <t>2026-10-23 01:45</t>
        </is>
      </c>
      <c r="B34" s="31" t="inlineStr">
        <is>
          <t>TR-035</t>
        </is>
      </c>
      <c r="C34" s="31" t="inlineStr">
        <is>
          <t>Elginan</t>
        </is>
      </c>
      <c r="D34" s="31" t="inlineStr">
        <is>
          <t>Saphir-Truhe</t>
        </is>
      </c>
      <c r="E34" s="31" t="inlineStr">
        <is>
          <t>Schatzkammer der Ahnen Level 30-34</t>
        </is>
      </c>
      <c r="F34" s="31" t="n">
        <v>50</v>
      </c>
    </row>
    <row r="35" ht="15" customHeight="1" s="18">
      <c r="A35" s="31" t="inlineStr">
        <is>
          <t>2026-10-23 01:46</t>
        </is>
      </c>
      <c r="B35" s="31" t="inlineStr">
        <is>
          <t>TR-036</t>
        </is>
      </c>
      <c r="C35" s="31" t="inlineStr">
        <is>
          <t>LegatusLabienus</t>
        </is>
      </c>
      <c r="D35" s="31" t="inlineStr">
        <is>
          <t>Barbarentruhe</t>
        </is>
      </c>
      <c r="E35" s="31" t="inlineStr">
        <is>
          <t>Gruft Level 25</t>
        </is>
      </c>
      <c r="F35" s="31" t="n">
        <v>25</v>
      </c>
    </row>
    <row r="36" ht="15" customHeight="1" s="18">
      <c r="A36" s="31" t="inlineStr">
        <is>
          <t>2026-10-23 01:46</t>
        </is>
      </c>
      <c r="B36" s="31" t="inlineStr">
        <is>
          <t>TR-037</t>
        </is>
      </c>
      <c r="C36" s="31" t="inlineStr">
        <is>
          <t>PABLUS</t>
        </is>
      </c>
      <c r="D36" s="31" t="inlineStr">
        <is>
          <t>Gladiatorentruhe</t>
        </is>
      </c>
      <c r="E36" s="31" t="inlineStr">
        <is>
          <t>Arena</t>
        </is>
      </c>
      <c r="F36" s="31" t="n">
        <v>50</v>
      </c>
    </row>
    <row r="37" ht="15" customHeight="1" s="18">
      <c r="A37" s="31" t="inlineStr">
        <is>
          <t>2026-10-23 01:46</t>
        </is>
      </c>
      <c r="B37" s="31" t="inlineStr">
        <is>
          <t>TR-038</t>
        </is>
      </c>
      <c r="C37" s="31" t="inlineStr">
        <is>
          <t>LegatusLabienus</t>
        </is>
      </c>
      <c r="D37" s="31" t="inlineStr">
        <is>
          <t>Truhe der Kobra</t>
        </is>
      </c>
      <c r="E37" s="31" t="inlineStr">
        <is>
          <t>Gruft Level 25</t>
        </is>
      </c>
      <c r="F37" s="31" t="n">
        <v>25</v>
      </c>
    </row>
    <row r="38" ht="15" customHeight="1" s="18">
      <c r="A38" s="31" t="inlineStr">
        <is>
          <t>2026-10-23 01:50</t>
        </is>
      </c>
      <c r="B38" s="31" t="inlineStr">
        <is>
          <t>TR-039</t>
        </is>
      </c>
      <c r="C38" s="31" t="inlineStr">
        <is>
          <t>Granidred</t>
        </is>
      </c>
      <c r="D38" s="31" t="inlineStr">
        <is>
          <t>Steintruhe</t>
        </is>
      </c>
      <c r="E38" s="31" t="inlineStr">
        <is>
          <t>Gruft Level 20</t>
        </is>
      </c>
      <c r="F38" s="31" t="n">
        <v>20</v>
      </c>
    </row>
    <row r="39" ht="15" customHeight="1" s="18">
      <c r="A39" s="31" t="inlineStr">
        <is>
          <t>2026-10-23 01:56</t>
        </is>
      </c>
      <c r="B39" s="31" t="inlineStr">
        <is>
          <t>TR-040</t>
        </is>
      </c>
      <c r="C39" s="31" t="inlineStr">
        <is>
          <t>LegatusLabienus</t>
        </is>
      </c>
      <c r="D39" s="31" t="inlineStr">
        <is>
          <t>Saphir-Truhe</t>
        </is>
      </c>
      <c r="E39" s="31" t="inlineStr">
        <is>
          <t>Schatzkammer der Ahnen Level 30-34</t>
        </is>
      </c>
      <c r="F39" s="31" t="n">
        <v>50</v>
      </c>
    </row>
    <row r="40" ht="15" customHeight="1" s="18">
      <c r="A40" s="31" t="inlineStr">
        <is>
          <t>2026-10-23 01:59</t>
        </is>
      </c>
      <c r="B40" s="31" t="inlineStr">
        <is>
          <t>TR-041</t>
        </is>
      </c>
      <c r="C40" s="31" t="inlineStr">
        <is>
          <t>BELEN</t>
        </is>
      </c>
      <c r="D40" s="31" t="inlineStr">
        <is>
          <t>Schöne Truhe</t>
        </is>
      </c>
      <c r="E40" s="31" t="inlineStr">
        <is>
          <t>Gruft Level 20</t>
        </is>
      </c>
      <c r="F40" s="31" t="n">
        <v>20</v>
      </c>
    </row>
    <row r="41" ht="15" customHeight="1" s="18">
      <c r="A41" s="31" t="inlineStr">
        <is>
          <t>2026-10-23 01:59</t>
        </is>
      </c>
      <c r="B41" s="31" t="inlineStr">
        <is>
          <t>TR-042</t>
        </is>
      </c>
      <c r="C41" s="31" t="inlineStr">
        <is>
          <t>LegatusLabienus</t>
        </is>
      </c>
      <c r="D41" s="31" t="inlineStr">
        <is>
          <t>Saphir-Truhe</t>
        </is>
      </c>
      <c r="E41" s="31" t="inlineStr">
        <is>
          <t>Schatzkammer der Ahnen Level 35-39</t>
        </is>
      </c>
      <c r="F41" s="31" t="n">
        <v>50</v>
      </c>
    </row>
    <row r="42" ht="15" customHeight="1" s="18">
      <c r="A42" s="31" t="inlineStr">
        <is>
          <t>2026-10-23 02:01</t>
        </is>
      </c>
      <c r="B42" s="31" t="inlineStr">
        <is>
          <t>TR-043</t>
        </is>
      </c>
      <c r="C42" s="31" t="inlineStr">
        <is>
          <t>BELEN</t>
        </is>
      </c>
      <c r="D42" s="31" t="inlineStr">
        <is>
          <t>Truhe der Kobra</t>
        </is>
      </c>
      <c r="E42" s="31" t="inlineStr">
        <is>
          <t>Gruft Level 25</t>
        </is>
      </c>
      <c r="F42" s="31" t="n">
        <v>25</v>
      </c>
    </row>
    <row r="43" ht="15" customHeight="1" s="18">
      <c r="A43" s="31" t="inlineStr">
        <is>
          <t>2026-10-23 02:01</t>
        </is>
      </c>
      <c r="B43" s="31" t="inlineStr">
        <is>
          <t>TR-044</t>
        </is>
      </c>
      <c r="C43" s="31" t="inlineStr">
        <is>
          <t>BELEN</t>
        </is>
      </c>
      <c r="D43" s="31" t="inlineStr">
        <is>
          <t>Barbarentruhe</t>
        </is>
      </c>
      <c r="E43" s="31" t="inlineStr">
        <is>
          <t>Gruft Level 25</t>
        </is>
      </c>
      <c r="F43" s="31" t="n">
        <v>25</v>
      </c>
    </row>
    <row r="44" ht="15" customHeight="1" s="18">
      <c r="A44" s="31" t="inlineStr">
        <is>
          <t>2026-10-23 01:47</t>
        </is>
      </c>
      <c r="B44" s="31" t="inlineStr">
        <is>
          <t>TR-045</t>
        </is>
      </c>
      <c r="C44" s="31" t="inlineStr">
        <is>
          <t>Granidred</t>
        </is>
      </c>
      <c r="D44" s="31" t="inlineStr">
        <is>
          <t>Barbarentruhe</t>
        </is>
      </c>
      <c r="E44" s="31" t="inlineStr">
        <is>
          <t>Gruft Level 20</t>
        </is>
      </c>
      <c r="F44" s="31" t="n">
        <v>20</v>
      </c>
    </row>
    <row r="45" ht="15" customHeight="1" s="18">
      <c r="A45" s="31" t="inlineStr">
        <is>
          <t>2026-10-23 01:47</t>
        </is>
      </c>
      <c r="B45" s="31" t="inlineStr">
        <is>
          <t>TR-046</t>
        </is>
      </c>
      <c r="C45" s="31" t="inlineStr">
        <is>
          <t>BELEN</t>
        </is>
      </c>
      <c r="D45" s="31" t="inlineStr">
        <is>
          <t>Knochentruhe</t>
        </is>
      </c>
      <c r="E45" s="31" t="inlineStr">
        <is>
          <t>Gruft Level 25</t>
        </is>
      </c>
      <c r="F45" s="31" t="n">
        <v>25</v>
      </c>
    </row>
    <row r="46" ht="15" customHeight="1" s="18">
      <c r="A46" s="31" t="inlineStr">
        <is>
          <t>2026-10-23 01:47</t>
        </is>
      </c>
      <c r="B46" s="31" t="inlineStr">
        <is>
          <t>TR-047</t>
        </is>
      </c>
      <c r="C46" s="31" t="inlineStr">
        <is>
          <t>LegatusLabienus</t>
        </is>
      </c>
      <c r="D46" s="31" t="inlineStr">
        <is>
          <t>Truhe der Festung der Elfen</t>
        </is>
      </c>
      <c r="E46" s="31" t="inlineStr">
        <is>
          <t>Festung Level 30</t>
        </is>
      </c>
      <c r="F46" s="31" t="n">
        <v>40</v>
      </c>
    </row>
    <row r="47" ht="15" customHeight="1" s="18">
      <c r="A47" s="31" t="inlineStr">
        <is>
          <t>2026-10-23 01:47</t>
        </is>
      </c>
      <c r="B47" s="31" t="inlineStr">
        <is>
          <t>TR-048</t>
        </is>
      </c>
      <c r="C47" s="31" t="inlineStr">
        <is>
          <t>Manador II</t>
        </is>
      </c>
      <c r="D47" s="31" t="inlineStr">
        <is>
          <t>Saphir-Truhe</t>
        </is>
      </c>
      <c r="E47" s="31" t="inlineStr">
        <is>
          <t>Schatzkammer der Ahnen Level 45</t>
        </is>
      </c>
      <c r="F47" s="31" t="n">
        <v>50</v>
      </c>
    </row>
    <row r="48" ht="15" customHeight="1" s="18">
      <c r="A48" s="31" t="inlineStr">
        <is>
          <t>2026-10-23 01:47</t>
        </is>
      </c>
      <c r="B48" s="31" t="inlineStr">
        <is>
          <t>TR-049</t>
        </is>
      </c>
      <c r="C48" s="31" t="inlineStr">
        <is>
          <t>Ajax</t>
        </is>
      </c>
      <c r="D48" s="31" t="inlineStr">
        <is>
          <t>Infernale Truhe</t>
        </is>
      </c>
      <c r="E48" s="31" t="inlineStr">
        <is>
          <t>Gruft Level 25</t>
        </is>
      </c>
      <c r="F48" s="31" t="n">
        <v>50</v>
      </c>
    </row>
    <row r="49" ht="15" customHeight="1" s="18">
      <c r="A49" s="31" t="inlineStr">
        <is>
          <t>2026-10-23 01:48</t>
        </is>
      </c>
      <c r="B49" s="31" t="inlineStr">
        <is>
          <t>TR-050</t>
        </is>
      </c>
      <c r="C49" s="31" t="inlineStr">
        <is>
          <t>invisible</t>
        </is>
      </c>
      <c r="D49" s="31" t="inlineStr">
        <is>
          <t>Truhe der Festung der Elfen</t>
        </is>
      </c>
      <c r="E49" s="31" t="inlineStr">
        <is>
          <t>Festung Level 20</t>
        </is>
      </c>
      <c r="F49" s="31" t="n">
        <v>20</v>
      </c>
    </row>
    <row r="50" ht="15" customHeight="1" s="18">
      <c r="A50" s="31" t="inlineStr">
        <is>
          <t>2026-10-23 01:48</t>
        </is>
      </c>
      <c r="B50" s="31" t="inlineStr">
        <is>
          <t>TR-051</t>
        </is>
      </c>
      <c r="C50" s="31" t="inlineStr">
        <is>
          <t>King Slayer</t>
        </is>
      </c>
      <c r="D50" s="31" t="inlineStr">
        <is>
          <t>Barbarentruhe</t>
        </is>
      </c>
      <c r="E50" s="31" t="inlineStr">
        <is>
          <t>Gruft Level 25</t>
        </is>
      </c>
      <c r="F50" s="31" t="n">
        <v>25</v>
      </c>
    </row>
    <row r="51" ht="15" customHeight="1" s="18">
      <c r="A51" s="31" t="inlineStr">
        <is>
          <t>2026-10-23 01:48</t>
        </is>
      </c>
      <c r="B51" s="31" t="inlineStr">
        <is>
          <t>TR-052</t>
        </is>
      </c>
      <c r="C51" s="31" t="inlineStr">
        <is>
          <t>King Slayer</t>
        </is>
      </c>
      <c r="D51" s="31" t="inlineStr">
        <is>
          <t>Truhe der Orks</t>
        </is>
      </c>
      <c r="E51" s="31" t="inlineStr">
        <is>
          <t>Gruft Level 25</t>
        </is>
      </c>
      <c r="F51" s="31" t="n">
        <v>25</v>
      </c>
    </row>
    <row r="52" ht="15" customHeight="1" s="18">
      <c r="A52" s="31" t="inlineStr">
        <is>
          <t>2026-10-23 01:49</t>
        </is>
      </c>
      <c r="B52" s="31" t="inlineStr">
        <is>
          <t>TR-053</t>
        </is>
      </c>
      <c r="C52" s="31" t="inlineStr">
        <is>
          <t>King Slayer</t>
        </is>
      </c>
      <c r="D52" s="31" t="inlineStr">
        <is>
          <t>Knochentruhe</t>
        </is>
      </c>
      <c r="E52" s="31" t="inlineStr">
        <is>
          <t>Gruft Level 25</t>
        </is>
      </c>
      <c r="F52" s="31" t="n">
        <v>25</v>
      </c>
    </row>
    <row r="53" ht="15" customHeight="1" s="18">
      <c r="A53" s="31" t="inlineStr">
        <is>
          <t>2026-10-23 01:49</t>
        </is>
      </c>
      <c r="B53" s="31" t="inlineStr">
        <is>
          <t>TR-054</t>
        </is>
      </c>
      <c r="C53" s="31" t="inlineStr">
        <is>
          <t>LegatusLabienus</t>
        </is>
      </c>
      <c r="D53" s="31" t="inlineStr">
        <is>
          <t>Saphir-Truhe</t>
        </is>
      </c>
      <c r="E53" s="31" t="inlineStr">
        <is>
          <t>Schatzkammer der Ahnen Level 35-39</t>
        </is>
      </c>
      <c r="F53" s="31" t="n">
        <v>50</v>
      </c>
    </row>
    <row r="54" ht="15" customHeight="1" s="18">
      <c r="A54" s="31" t="inlineStr">
        <is>
          <t>2026-10-23 01:49</t>
        </is>
      </c>
      <c r="B54" s="31" t="inlineStr">
        <is>
          <t>TR-055</t>
        </is>
      </c>
      <c r="C54" s="31" t="inlineStr">
        <is>
          <t>LegatusLabienus</t>
        </is>
      </c>
      <c r="D54" s="31" t="inlineStr">
        <is>
          <t>Truhe der Festung der Elfen</t>
        </is>
      </c>
      <c r="E54" s="31" t="inlineStr">
        <is>
          <t>Festung Level 30</t>
        </is>
      </c>
      <c r="F54" s="31" t="n">
        <v>40</v>
      </c>
    </row>
    <row r="55" ht="15" customHeight="1" s="18">
      <c r="A55" s="31" t="inlineStr">
        <is>
          <t>2026-10-23 01:50</t>
        </is>
      </c>
      <c r="B55" s="31" t="inlineStr">
        <is>
          <t>TR-056</t>
        </is>
      </c>
      <c r="C55" s="31" t="inlineStr">
        <is>
          <t>invisible</t>
        </is>
      </c>
      <c r="D55" s="31" t="inlineStr">
        <is>
          <t>Truhe der Festung der Verfluchten</t>
        </is>
      </c>
      <c r="E55" s="31" t="inlineStr">
        <is>
          <t>Festung Level 20</t>
        </is>
      </c>
      <c r="F55" s="31" t="n">
        <v>15</v>
      </c>
    </row>
    <row r="56" ht="15" customHeight="1" s="18">
      <c r="A56" s="31" t="inlineStr">
        <is>
          <t>2026-10-23 01:50</t>
        </is>
      </c>
      <c r="B56" s="31" t="inlineStr">
        <is>
          <t>TR-057</t>
        </is>
      </c>
      <c r="C56" s="31" t="inlineStr">
        <is>
          <t>invisible</t>
        </is>
      </c>
      <c r="D56" s="31" t="inlineStr">
        <is>
          <t>Truhe der Festung der Elfen</t>
        </is>
      </c>
      <c r="E56" s="31" t="inlineStr">
        <is>
          <t>Festung Level 25</t>
        </is>
      </c>
      <c r="F56" s="31" t="n">
        <v>30</v>
      </c>
    </row>
    <row r="57" ht="15" customHeight="1" s="18">
      <c r="A57" s="31" t="inlineStr">
        <is>
          <t>2026-10-23 01:50</t>
        </is>
      </c>
      <c r="B57" s="31" t="inlineStr">
        <is>
          <t>TR-058</t>
        </is>
      </c>
      <c r="C57" s="31" t="inlineStr">
        <is>
          <t>Granidred</t>
        </is>
      </c>
      <c r="D57" s="31" t="inlineStr">
        <is>
          <t>Unionstruhe</t>
        </is>
      </c>
      <c r="E57" s="31" t="inlineStr">
        <is>
          <t>Persönliche Belohnung Union des Triumphs</t>
        </is>
      </c>
      <c r="F57" s="31" t="n">
        <v>50</v>
      </c>
    </row>
    <row r="58" ht="15" customHeight="1" s="18">
      <c r="A58" s="31" t="inlineStr">
        <is>
          <t>2026-10-23 01:50</t>
        </is>
      </c>
      <c r="B58" s="31" t="inlineStr">
        <is>
          <t>TR-059</t>
        </is>
      </c>
      <c r="C58" s="31" t="inlineStr">
        <is>
          <t>Granidred</t>
        </is>
      </c>
      <c r="D58" s="31" t="inlineStr">
        <is>
          <t>Truhe der Festung der Elfen</t>
        </is>
      </c>
      <c r="E58" s="31" t="inlineStr">
        <is>
          <t>Festung Level 15</t>
        </is>
      </c>
      <c r="F58" s="31" t="n">
        <v>0</v>
      </c>
    </row>
    <row r="59" ht="15" customHeight="1" s="18">
      <c r="A59" s="31" t="inlineStr">
        <is>
          <t>2026-10-23 01:50</t>
        </is>
      </c>
      <c r="B59" s="31" t="inlineStr">
        <is>
          <t>TR-060</t>
        </is>
      </c>
      <c r="C59" s="31" t="inlineStr">
        <is>
          <t>Manador II</t>
        </is>
      </c>
      <c r="D59" s="31" t="inlineStr">
        <is>
          <t>Schöne Truhe</t>
        </is>
      </c>
      <c r="E59" s="31" t="inlineStr">
        <is>
          <t>Gruft Level 20</t>
        </is>
      </c>
      <c r="F59" s="31" t="n">
        <v>20</v>
      </c>
    </row>
    <row r="60" ht="15" customHeight="1" s="18">
      <c r="A60" s="31" t="inlineStr">
        <is>
          <t>2026-10-23 01:50</t>
        </is>
      </c>
      <c r="B60" s="31" t="inlineStr">
        <is>
          <t>TR-061</t>
        </is>
      </c>
      <c r="C60" s="31" t="inlineStr">
        <is>
          <t>Manador II</t>
        </is>
      </c>
      <c r="D60" s="31" t="inlineStr">
        <is>
          <t>Vergessene Truhe</t>
        </is>
      </c>
      <c r="E60" s="31" t="inlineStr">
        <is>
          <t>Gruft Level 20</t>
        </is>
      </c>
      <c r="F60" s="31" t="n">
        <v>20</v>
      </c>
    </row>
    <row r="61" ht="15" customHeight="1" s="18">
      <c r="A61" s="31" t="inlineStr">
        <is>
          <t>2026-10-23 01:50</t>
        </is>
      </c>
      <c r="B61" s="31" t="inlineStr">
        <is>
          <t>TR-062</t>
        </is>
      </c>
      <c r="C61" s="31" t="inlineStr">
        <is>
          <t>Lee the Ugly</t>
        </is>
      </c>
      <c r="D61" s="31" t="inlineStr">
        <is>
          <t>Truhe der Maya</t>
        </is>
      </c>
      <c r="E61" s="31" t="inlineStr">
        <is>
          <t>Gruft Level 15</t>
        </is>
      </c>
      <c r="F61" s="31" t="n">
        <v>0</v>
      </c>
    </row>
    <row r="62" ht="15" customHeight="1" s="18">
      <c r="A62" s="31" t="inlineStr">
        <is>
          <t>2026-10-23 01:51</t>
        </is>
      </c>
      <c r="B62" s="31" t="inlineStr">
        <is>
          <t>TR-063</t>
        </is>
      </c>
      <c r="C62" s="31" t="inlineStr">
        <is>
          <t>AyBars</t>
        </is>
      </c>
      <c r="D62" s="31" t="inlineStr">
        <is>
          <t>Truhe der Kobra</t>
        </is>
      </c>
      <c r="E62" s="31" t="inlineStr">
        <is>
          <t>Gruft Level 10</t>
        </is>
      </c>
      <c r="F62" s="31" t="n">
        <v>0</v>
      </c>
    </row>
    <row r="63" ht="15" customHeight="1" s="18">
      <c r="A63" s="31" t="inlineStr">
        <is>
          <t>2026-10-23 01:51</t>
        </is>
      </c>
      <c r="B63" s="31" t="inlineStr">
        <is>
          <t>TR-064</t>
        </is>
      </c>
      <c r="C63" s="31" t="inlineStr">
        <is>
          <t>AyBars</t>
        </is>
      </c>
      <c r="D63" s="31" t="inlineStr">
        <is>
          <t>Truhe der Orks</t>
        </is>
      </c>
      <c r="E63" s="31" t="inlineStr">
        <is>
          <t>Gruft Level 5</t>
        </is>
      </c>
      <c r="F63" s="31" t="n">
        <v>0</v>
      </c>
    </row>
    <row r="64" ht="15" customHeight="1" s="18">
      <c r="A64" s="31" t="inlineStr">
        <is>
          <t>2026-10-23 01:51</t>
        </is>
      </c>
      <c r="B64" s="31" t="inlineStr">
        <is>
          <t>TR-065</t>
        </is>
      </c>
      <c r="C64" s="31" t="inlineStr">
        <is>
          <t>Manador II</t>
        </is>
      </c>
      <c r="D64" s="31" t="inlineStr">
        <is>
          <t>Infernale Truhe</t>
        </is>
      </c>
      <c r="E64" s="31" t="inlineStr">
        <is>
          <t>Gruft Level 20</t>
        </is>
      </c>
      <c r="F64" s="31" t="n">
        <v>40</v>
      </c>
    </row>
    <row r="65" ht="15" customHeight="1" s="18">
      <c r="A65" s="31" t="inlineStr">
        <is>
          <t>2026-10-23 01:51</t>
        </is>
      </c>
      <c r="B65" s="31" t="inlineStr">
        <is>
          <t>TR-066</t>
        </is>
      </c>
      <c r="C65" s="31" t="inlineStr">
        <is>
          <t>AyBars</t>
        </is>
      </c>
      <c r="D65" s="31" t="inlineStr">
        <is>
          <t>Kobalt-Truhe</t>
        </is>
      </c>
      <c r="E65" s="31" t="inlineStr">
        <is>
          <t>Epische Gruft Level 25</t>
        </is>
      </c>
      <c r="F65" s="31" t="n">
        <v>50</v>
      </c>
    </row>
    <row r="66" ht="15" customHeight="1" s="18">
      <c r="A66" s="31" t="inlineStr">
        <is>
          <t>2026-10-23 01:51</t>
        </is>
      </c>
      <c r="B66" s="31" t="inlineStr">
        <is>
          <t>TR-067</t>
        </is>
      </c>
      <c r="C66" s="31" t="inlineStr">
        <is>
          <t>Manador II</t>
        </is>
      </c>
      <c r="D66" s="31" t="inlineStr">
        <is>
          <t>Seltene Drachentruhe</t>
        </is>
      </c>
      <c r="E66" s="31" t="inlineStr">
        <is>
          <t>Seltene Gruft Level 30</t>
        </is>
      </c>
      <c r="F66" s="31" t="n">
        <v>50</v>
      </c>
    </row>
    <row r="67" ht="15" customHeight="1" s="18">
      <c r="A67" s="31" t="inlineStr">
        <is>
          <t>2026-10-23 01:51</t>
        </is>
      </c>
      <c r="B67" s="31" t="inlineStr">
        <is>
          <t>TR-068</t>
        </is>
      </c>
      <c r="C67" s="31" t="inlineStr">
        <is>
          <t>invisible</t>
        </is>
      </c>
      <c r="D67" s="31" t="inlineStr">
        <is>
          <t>Truhe der Festung der Elfen</t>
        </is>
      </c>
      <c r="E67" s="31" t="inlineStr">
        <is>
          <t>Festung Level 20</t>
        </is>
      </c>
      <c r="F67" s="31" t="n">
        <v>20</v>
      </c>
    </row>
    <row r="68" ht="15" customHeight="1" s="18">
      <c r="A68" s="31" t="inlineStr">
        <is>
          <t>2026-10-23 01:51</t>
        </is>
      </c>
      <c r="B68" s="31" t="inlineStr">
        <is>
          <t>TR-069</t>
        </is>
      </c>
      <c r="C68" s="31" t="inlineStr">
        <is>
          <t>Mojo</t>
        </is>
      </c>
      <c r="D68" s="31" t="inlineStr">
        <is>
          <t>Steintruhe</t>
        </is>
      </c>
      <c r="E68" s="31" t="inlineStr">
        <is>
          <t>Gruft Level 25</t>
        </is>
      </c>
      <c r="F68" s="31" t="n">
        <v>25</v>
      </c>
    </row>
    <row r="69" ht="15" customHeight="1" s="18">
      <c r="A69" s="31" t="inlineStr">
        <is>
          <t>2026-10-23 01:51</t>
        </is>
      </c>
      <c r="B69" s="31" t="inlineStr">
        <is>
          <t>TR-070</t>
        </is>
      </c>
      <c r="C69" s="31" t="inlineStr">
        <is>
          <t>Manador II</t>
        </is>
      </c>
      <c r="D69" s="31" t="inlineStr">
        <is>
          <t>Seltene Drachentruhe</t>
        </is>
      </c>
      <c r="E69" s="31" t="inlineStr">
        <is>
          <t>Seltene Gruft Level 30</t>
        </is>
      </c>
      <c r="F69" s="31" t="n">
        <v>50</v>
      </c>
    </row>
    <row r="70" ht="15" customHeight="1" s="18">
      <c r="A70" s="31" t="inlineStr">
        <is>
          <t>2026-10-23 01:51</t>
        </is>
      </c>
      <c r="B70" s="31" t="inlineStr">
        <is>
          <t>TR-071</t>
        </is>
      </c>
      <c r="C70" s="31" t="inlineStr">
        <is>
          <t>LegatusLabienus</t>
        </is>
      </c>
      <c r="D70" s="31" t="inlineStr">
        <is>
          <t>Saphir-Truhe</t>
        </is>
      </c>
      <c r="E70" s="31" t="inlineStr">
        <is>
          <t>Schatzkammer der Ahnen Level 35-39</t>
        </is>
      </c>
      <c r="F70" s="31" t="n">
        <v>50</v>
      </c>
    </row>
    <row r="71" ht="15" customHeight="1" s="18">
      <c r="A71" s="31" t="inlineStr">
        <is>
          <t>2026-10-23 01:51</t>
        </is>
      </c>
      <c r="B71" s="31" t="inlineStr">
        <is>
          <t>TR-072</t>
        </is>
      </c>
      <c r="C71" s="31" t="inlineStr">
        <is>
          <t>Manador II</t>
        </is>
      </c>
      <c r="D71" s="31" t="inlineStr">
        <is>
          <t>Seltene Drachentruhe</t>
        </is>
      </c>
      <c r="E71" s="31" t="inlineStr">
        <is>
          <t>Seltene Gruft Level 30</t>
        </is>
      </c>
      <c r="F71" s="31" t="n">
        <v>50</v>
      </c>
    </row>
    <row r="72" ht="15" customHeight="1" s="18">
      <c r="A72" s="31" t="inlineStr">
        <is>
          <t>2026-10-23 01:51</t>
        </is>
      </c>
      <c r="B72" s="31" t="inlineStr">
        <is>
          <t>TR-073</t>
        </is>
      </c>
      <c r="C72" s="31" t="inlineStr">
        <is>
          <t>LegatusLabienus</t>
        </is>
      </c>
      <c r="D72" s="31" t="inlineStr">
        <is>
          <t>Truhe der Festung der Elfen</t>
        </is>
      </c>
      <c r="E72" s="31" t="inlineStr">
        <is>
          <t>Festung Level 30</t>
        </is>
      </c>
      <c r="F72" s="31" t="n">
        <v>40</v>
      </c>
    </row>
    <row r="73" ht="15" customHeight="1" s="18">
      <c r="A73" s="31" t="inlineStr">
        <is>
          <t>2026-10-23 01:52</t>
        </is>
      </c>
      <c r="B73" s="31" t="inlineStr">
        <is>
          <t>TR-074</t>
        </is>
      </c>
      <c r="C73" s="31" t="inlineStr">
        <is>
          <t>LegatusLabienus</t>
        </is>
      </c>
      <c r="D73" s="31" t="inlineStr">
        <is>
          <t>Truhe der Festung der Elfen</t>
        </is>
      </c>
      <c r="E73" s="31" t="inlineStr">
        <is>
          <t>Festung Level 30</t>
        </is>
      </c>
      <c r="F73" s="31" t="n">
        <v>40</v>
      </c>
    </row>
    <row r="74" ht="15" customHeight="1" s="18">
      <c r="A74" s="31" t="inlineStr">
        <is>
          <t>2026-10-23 01:52</t>
        </is>
      </c>
      <c r="B74" s="31" t="inlineStr">
        <is>
          <t>TR-075</t>
        </is>
      </c>
      <c r="C74" s="31" t="inlineStr">
        <is>
          <t>LegatusLabienus</t>
        </is>
      </c>
      <c r="D74" s="31" t="inlineStr">
        <is>
          <t>Truhe der Festung der Elfen</t>
        </is>
      </c>
      <c r="E74" s="31" t="inlineStr">
        <is>
          <t>Festung Level 30</t>
        </is>
      </c>
      <c r="F74" s="31" t="n">
        <v>40</v>
      </c>
    </row>
    <row r="75" ht="15" customHeight="1" s="18">
      <c r="A75" s="31" t="inlineStr">
        <is>
          <t>2026-10-23 01:52</t>
        </is>
      </c>
      <c r="B75" s="31" t="inlineStr">
        <is>
          <t>TR-076</t>
        </is>
      </c>
      <c r="C75" s="31" t="inlineStr">
        <is>
          <t>invisible</t>
        </is>
      </c>
      <c r="D75" s="31" t="inlineStr">
        <is>
          <t>Truhe der Festung der Elfen</t>
        </is>
      </c>
      <c r="E75" s="31" t="inlineStr">
        <is>
          <t>Festung Level 20</t>
        </is>
      </c>
      <c r="F75" s="31" t="n">
        <v>20</v>
      </c>
    </row>
    <row r="76" ht="15" customHeight="1" s="18">
      <c r="A76" s="31" t="inlineStr">
        <is>
          <t>2026-10-23 01:52</t>
        </is>
      </c>
      <c r="B76" s="31" t="inlineStr">
        <is>
          <t>TR-077</t>
        </is>
      </c>
      <c r="C76" s="31" t="inlineStr">
        <is>
          <t>Granidred</t>
        </is>
      </c>
      <c r="D76" s="31" t="inlineStr">
        <is>
          <t>Truhe der Festung der Elfen</t>
        </is>
      </c>
      <c r="E76" s="31" t="inlineStr">
        <is>
          <t>Festung Level 15</t>
        </is>
      </c>
      <c r="F76" s="31" t="n">
        <v>20</v>
      </c>
    </row>
    <row r="77" ht="15" customHeight="1" s="18">
      <c r="A77" s="31" t="inlineStr">
        <is>
          <t>2026-10-23 01:52</t>
        </is>
      </c>
      <c r="B77" s="31" t="inlineStr">
        <is>
          <t>TR-078</t>
        </is>
      </c>
      <c r="C77" s="31" t="inlineStr">
        <is>
          <t>Mojo</t>
        </is>
      </c>
      <c r="D77" s="31" t="inlineStr">
        <is>
          <t>Truhe der Kobra</t>
        </is>
      </c>
      <c r="E77" s="31" t="inlineStr">
        <is>
          <t>Gruft Level 25</t>
        </is>
      </c>
      <c r="F77" s="31" t="n">
        <v>25</v>
      </c>
    </row>
    <row r="78" ht="15" customHeight="1" s="18">
      <c r="A78" s="31" t="inlineStr">
        <is>
          <t>2026-10-23 01:52</t>
        </is>
      </c>
      <c r="B78" s="31" t="inlineStr">
        <is>
          <t>TR-079</t>
        </is>
      </c>
      <c r="C78" s="31" t="inlineStr">
        <is>
          <t>Osoooo</t>
        </is>
      </c>
      <c r="D78" s="31" t="inlineStr">
        <is>
          <t>Knochentruhe</t>
        </is>
      </c>
      <c r="E78" s="31" t="inlineStr">
        <is>
          <t>Gruft Level 25</t>
        </is>
      </c>
      <c r="F78" s="31" t="n">
        <v>25</v>
      </c>
    </row>
    <row r="79" ht="15" customHeight="1" s="18">
      <c r="A79" s="31" t="inlineStr">
        <is>
          <t>2026-10-23 01:52</t>
        </is>
      </c>
      <c r="B79" s="31" t="inlineStr">
        <is>
          <t>TR-080</t>
        </is>
      </c>
      <c r="C79" s="31" t="inlineStr">
        <is>
          <t>LegatusLabienus</t>
        </is>
      </c>
      <c r="D79" s="31" t="inlineStr">
        <is>
          <t>Truhe der Festung der Elfen</t>
        </is>
      </c>
      <c r="E79" s="31" t="inlineStr">
        <is>
          <t>Festung Level 30</t>
        </is>
      </c>
      <c r="F79" s="31" t="n">
        <v>40</v>
      </c>
    </row>
    <row r="80" ht="15" customHeight="1" s="18">
      <c r="A80" s="31" t="inlineStr">
        <is>
          <t>2026-10-23 01:52</t>
        </is>
      </c>
      <c r="B80" s="31" t="inlineStr">
        <is>
          <t>TR-081</t>
        </is>
      </c>
      <c r="C80" s="31" t="inlineStr">
        <is>
          <t>LegatusLabienus</t>
        </is>
      </c>
      <c r="D80" s="31" t="inlineStr">
        <is>
          <t>Truhe der Festung der Elfen</t>
        </is>
      </c>
      <c r="E80" s="31" t="inlineStr">
        <is>
          <t>Festung Level 30</t>
        </is>
      </c>
      <c r="F80" s="31" t="n">
        <v>40</v>
      </c>
    </row>
    <row r="81" ht="15" customHeight="1" s="18">
      <c r="A81" s="31" t="inlineStr">
        <is>
          <t>2026-10-23 01:52</t>
        </is>
      </c>
      <c r="B81" s="31" t="inlineStr">
        <is>
          <t>TR-082</t>
        </is>
      </c>
      <c r="C81" s="31" t="inlineStr">
        <is>
          <t>Osoooo</t>
        </is>
      </c>
      <c r="D81" s="31" t="inlineStr">
        <is>
          <t>Infernale Truhe</t>
        </is>
      </c>
      <c r="E81" s="31" t="inlineStr">
        <is>
          <t>Gruft Level 25</t>
        </is>
      </c>
      <c r="F81" s="31" t="n">
        <v>50</v>
      </c>
    </row>
    <row r="82" ht="15" customHeight="1" s="18">
      <c r="A82" s="31" t="inlineStr">
        <is>
          <t>2026-10-23 01:52</t>
        </is>
      </c>
      <c r="B82" s="31" t="inlineStr">
        <is>
          <t>TR-083</t>
        </is>
      </c>
      <c r="C82" s="31" t="inlineStr">
        <is>
          <t>Osoooo</t>
        </is>
      </c>
      <c r="D82" s="31" t="inlineStr">
        <is>
          <t>Barbarentruhe</t>
        </is>
      </c>
      <c r="E82" s="31" t="inlineStr">
        <is>
          <t>Gruft Level 25</t>
        </is>
      </c>
      <c r="F82" s="31" t="n">
        <v>25</v>
      </c>
    </row>
    <row r="83" ht="15" customHeight="1" s="18">
      <c r="A83" s="31" t="inlineStr">
        <is>
          <t>2026-10-23 01:52</t>
        </is>
      </c>
      <c r="B83" s="31" t="inlineStr">
        <is>
          <t>TR-084</t>
        </is>
      </c>
      <c r="C83" s="31" t="inlineStr">
        <is>
          <t>Granidred</t>
        </is>
      </c>
      <c r="D83" s="31" t="inlineStr">
        <is>
          <t>Truhe der Festung der Elfen</t>
        </is>
      </c>
      <c r="E83" s="31" t="inlineStr">
        <is>
          <t>Festung Level 20</t>
        </is>
      </c>
      <c r="F83" s="31" t="n">
        <v>20</v>
      </c>
    </row>
    <row r="84" ht="15" customHeight="1" s="18">
      <c r="A84" s="31" t="inlineStr">
        <is>
          <t>2026-10-23 01:53</t>
        </is>
      </c>
      <c r="B84" s="31" t="inlineStr">
        <is>
          <t>TR-085</t>
        </is>
      </c>
      <c r="C84" s="31" t="inlineStr">
        <is>
          <t>Osoooo</t>
        </is>
      </c>
      <c r="D84" s="31" t="inlineStr">
        <is>
          <t>Schöne Truhe</t>
        </is>
      </c>
      <c r="E84" s="31" t="inlineStr">
        <is>
          <t>Gruft Level 25</t>
        </is>
      </c>
      <c r="F84" s="31" t="n">
        <v>25</v>
      </c>
    </row>
    <row r="85" ht="15" customHeight="1" s="18">
      <c r="A85" s="31" t="inlineStr">
        <is>
          <t>2026-10-23 01:53</t>
        </is>
      </c>
      <c r="B85" s="31" t="inlineStr">
        <is>
          <t>TR-086</t>
        </is>
      </c>
      <c r="C85" s="31" t="inlineStr">
        <is>
          <t>LegatusLabienus</t>
        </is>
      </c>
      <c r="D85" s="31" t="inlineStr">
        <is>
          <t>Truhe der Festung der Elfen</t>
        </is>
      </c>
      <c r="E85" s="31" t="inlineStr">
        <is>
          <t>Festung Level 30</t>
        </is>
      </c>
      <c r="F85" s="31" t="n">
        <v>40</v>
      </c>
    </row>
    <row r="86" ht="15" customHeight="1" s="18">
      <c r="A86" s="31" t="inlineStr">
        <is>
          <t>2026-10-23 01:53</t>
        </is>
      </c>
      <c r="B86" s="31" t="inlineStr">
        <is>
          <t>TR-087</t>
        </is>
      </c>
      <c r="C86" s="31" t="inlineStr">
        <is>
          <t>LegatusLabienus</t>
        </is>
      </c>
      <c r="D86" s="31" t="inlineStr">
        <is>
          <t>Saphir-Truhe</t>
        </is>
      </c>
      <c r="E86" s="31" t="inlineStr">
        <is>
          <t>Schatzkammer der Ahnen Level 30-34</t>
        </is>
      </c>
      <c r="F86" s="31" t="n">
        <v>50</v>
      </c>
    </row>
    <row r="87" ht="15" customHeight="1" s="18">
      <c r="A87" s="31" t="inlineStr">
        <is>
          <t>2026-10-23 01:53</t>
        </is>
      </c>
      <c r="B87" s="31" t="inlineStr">
        <is>
          <t>TR-088</t>
        </is>
      </c>
      <c r="C87" s="31" t="inlineStr">
        <is>
          <t>Granidred</t>
        </is>
      </c>
      <c r="D87" s="31" t="inlineStr">
        <is>
          <t>Truhe der Festung der Elfen</t>
        </is>
      </c>
      <c r="E87" s="31" t="inlineStr">
        <is>
          <t>Festung Level 20</t>
        </is>
      </c>
      <c r="F87" s="31" t="n">
        <v>20</v>
      </c>
    </row>
    <row r="88" ht="15" customHeight="1" s="18">
      <c r="A88" s="31" t="inlineStr">
        <is>
          <t>2026-10-23 01:53</t>
        </is>
      </c>
      <c r="B88" s="31" t="inlineStr">
        <is>
          <t>TR-089</t>
        </is>
      </c>
      <c r="C88" s="31" t="inlineStr">
        <is>
          <t>Manador II</t>
        </is>
      </c>
      <c r="D88" s="31" t="inlineStr">
        <is>
          <t>Unionstruhe</t>
        </is>
      </c>
      <c r="E88" s="31" t="inlineStr">
        <is>
          <t>Persönliche Belohnung Union des Triumphs</t>
        </is>
      </c>
      <c r="F88" s="31" t="n">
        <v>50</v>
      </c>
    </row>
    <row r="89" ht="15" customHeight="1" s="18">
      <c r="A89" s="31" t="inlineStr">
        <is>
          <t>2026-10-23 01:53</t>
        </is>
      </c>
      <c r="B89" s="31" t="inlineStr">
        <is>
          <t>TR-090</t>
        </is>
      </c>
      <c r="C89" s="31" t="inlineStr">
        <is>
          <t>Manador II</t>
        </is>
      </c>
      <c r="D89" s="31" t="inlineStr">
        <is>
          <t>Unionstruhe</t>
        </is>
      </c>
      <c r="E89" s="31" t="inlineStr">
        <is>
          <t>Persönliche Belohnung Union des Triumphs</t>
        </is>
      </c>
      <c r="F89" s="31" t="n">
        <v>50</v>
      </c>
    </row>
    <row r="90" ht="15" customHeight="1" s="18">
      <c r="A90" s="31" t="inlineStr">
        <is>
          <t>2026-10-23 01:53</t>
        </is>
      </c>
      <c r="B90" s="31" t="inlineStr">
        <is>
          <t>TR-091</t>
        </is>
      </c>
      <c r="C90" s="31" t="inlineStr">
        <is>
          <t>Manador II</t>
        </is>
      </c>
      <c r="D90" s="31" t="inlineStr">
        <is>
          <t>Unionstruhe</t>
        </is>
      </c>
      <c r="E90" s="31" t="inlineStr">
        <is>
          <t>Persönliche Belohnung Union des Triumphs</t>
        </is>
      </c>
      <c r="F90" s="31" t="n">
        <v>50</v>
      </c>
    </row>
    <row r="91" ht="15" customHeight="1" s="18">
      <c r="A91" s="31" t="inlineStr">
        <is>
          <t>2026-10-23 01:53</t>
        </is>
      </c>
      <c r="B91" s="31" t="inlineStr">
        <is>
          <t>TR-092</t>
        </is>
      </c>
      <c r="C91" s="31" t="inlineStr">
        <is>
          <t>Granidred</t>
        </is>
      </c>
      <c r="D91" s="31" t="inlineStr">
        <is>
          <t>Truhe der Festung der Elfen</t>
        </is>
      </c>
      <c r="E91" s="31" t="inlineStr">
        <is>
          <t>Festung Level 20</t>
        </is>
      </c>
      <c r="F91" s="31" t="n">
        <v>20</v>
      </c>
    </row>
    <row r="92" ht="15" customHeight="1" s="18">
      <c r="A92" s="31" t="inlineStr">
        <is>
          <t>2026-10-23 01:53</t>
        </is>
      </c>
      <c r="B92" s="31" t="inlineStr">
        <is>
          <t>TR-093</t>
        </is>
      </c>
      <c r="C92" s="31" t="inlineStr">
        <is>
          <t>WYSIWYG</t>
        </is>
      </c>
      <c r="D92" s="31" t="inlineStr">
        <is>
          <t>Unionstruhe</t>
        </is>
      </c>
      <c r="E92" s="31" t="inlineStr">
        <is>
          <t>Persönliche Belohnung Union des Triumphs</t>
        </is>
      </c>
      <c r="F92" s="31" t="n">
        <v>50</v>
      </c>
    </row>
    <row r="93" ht="15" customHeight="1" s="18">
      <c r="A93" s="31" t="inlineStr">
        <is>
          <t>2026-10-23 01:53</t>
        </is>
      </c>
      <c r="B93" s="31" t="inlineStr">
        <is>
          <t>TR-094</t>
        </is>
      </c>
      <c r="C93" s="31" t="inlineStr">
        <is>
          <t>WYSIWYG</t>
        </is>
      </c>
      <c r="D93" s="31" t="inlineStr">
        <is>
          <t>Unionstruhe</t>
        </is>
      </c>
      <c r="E93" s="31" t="inlineStr">
        <is>
          <t>Persönliche Belohnung Union des Triumphs</t>
        </is>
      </c>
      <c r="F93" s="31" t="n">
        <v>50</v>
      </c>
    </row>
    <row r="94" ht="15" customHeight="1" s="18">
      <c r="A94" s="31" t="inlineStr">
        <is>
          <t>2026-10-23 01:53</t>
        </is>
      </c>
      <c r="B94" s="31" t="inlineStr">
        <is>
          <t>TR-095</t>
        </is>
      </c>
      <c r="C94" s="31" t="inlineStr">
        <is>
          <t>Manador II</t>
        </is>
      </c>
      <c r="D94" s="31" t="inlineStr">
        <is>
          <t>Saphir-Truhe</t>
        </is>
      </c>
      <c r="E94" s="31" t="inlineStr">
        <is>
          <t>Schatzkammer der Ahnen Level 45</t>
        </is>
      </c>
      <c r="F94" s="31" t="n">
        <v>50</v>
      </c>
    </row>
    <row r="95" ht="15" customHeight="1" s="18">
      <c r="A95" s="31" t="inlineStr">
        <is>
          <t>2026-10-23 01:53</t>
        </is>
      </c>
      <c r="B95" s="31" t="inlineStr">
        <is>
          <t>TR-096</t>
        </is>
      </c>
      <c r="C95" s="31" t="inlineStr">
        <is>
          <t>WYSIWYG</t>
        </is>
      </c>
      <c r="D95" s="31" t="inlineStr">
        <is>
          <t>Steintruhe</t>
        </is>
      </c>
      <c r="E95" s="31" t="inlineStr">
        <is>
          <t>Gruft Level 25</t>
        </is>
      </c>
      <c r="F95" s="31" t="n">
        <v>25</v>
      </c>
    </row>
    <row r="96" ht="15" customHeight="1" s="18">
      <c r="A96" s="31" t="inlineStr">
        <is>
          <t>2026-10-23 01:53</t>
        </is>
      </c>
      <c r="B96" s="31" t="inlineStr">
        <is>
          <t>TR-097</t>
        </is>
      </c>
      <c r="C96" s="31" t="inlineStr">
        <is>
          <t>WYSIWYG</t>
        </is>
      </c>
      <c r="D96" s="31" t="inlineStr">
        <is>
          <t>Schöne Truhe</t>
        </is>
      </c>
      <c r="E96" s="31" t="inlineStr">
        <is>
          <t>Gruft Level 25</t>
        </is>
      </c>
      <c r="F96" s="31" t="n">
        <v>25</v>
      </c>
    </row>
    <row r="97" ht="15" customHeight="1" s="18">
      <c r="A97" s="31" t="inlineStr">
        <is>
          <t>2026-10-23 01:54</t>
        </is>
      </c>
      <c r="B97" s="31" t="inlineStr">
        <is>
          <t>TR-098</t>
        </is>
      </c>
      <c r="C97" s="31" t="inlineStr">
        <is>
          <t>invisible</t>
        </is>
      </c>
      <c r="D97" s="31" t="inlineStr">
        <is>
          <t>Infernale Truhe</t>
        </is>
      </c>
      <c r="E97" s="31" t="inlineStr">
        <is>
          <t>Gruft Level 25</t>
        </is>
      </c>
      <c r="F97" s="31" t="n">
        <v>50</v>
      </c>
    </row>
    <row r="98" ht="15" customHeight="1" s="18">
      <c r="A98" s="31" t="inlineStr">
        <is>
          <t>2026-10-23 01:54</t>
        </is>
      </c>
      <c r="B98" s="31" t="inlineStr">
        <is>
          <t>TR-099</t>
        </is>
      </c>
      <c r="C98" s="31" t="inlineStr">
        <is>
          <t>invisible</t>
        </is>
      </c>
      <c r="D98" s="31" t="inlineStr">
        <is>
          <t>Infernale Truhe</t>
        </is>
      </c>
      <c r="E98" s="31" t="inlineStr">
        <is>
          <t>Gruft Level 25</t>
        </is>
      </c>
      <c r="F98" s="31" t="n">
        <v>50</v>
      </c>
    </row>
    <row r="99" ht="15" customHeight="1" s="18">
      <c r="A99" s="31" t="inlineStr">
        <is>
          <t>2026-10-23 01:54</t>
        </is>
      </c>
      <c r="B99" s="31" t="inlineStr">
        <is>
          <t>TR-100</t>
        </is>
      </c>
      <c r="C99" s="31" t="inlineStr">
        <is>
          <t>invisible</t>
        </is>
      </c>
      <c r="D99" s="31" t="inlineStr">
        <is>
          <t>Infernale Truhe</t>
        </is>
      </c>
      <c r="E99" s="31" t="inlineStr">
        <is>
          <t>Gruft Level 25</t>
        </is>
      </c>
      <c r="F99" s="31" t="n">
        <v>50</v>
      </c>
    </row>
    <row r="100" ht="15" customHeight="1" s="18">
      <c r="A100" s="31" t="inlineStr">
        <is>
          <t>2026-10-23 01:54</t>
        </is>
      </c>
      <c r="B100" s="31" t="inlineStr">
        <is>
          <t>TR-101</t>
        </is>
      </c>
      <c r="C100" s="31" t="inlineStr">
        <is>
          <t>invisible</t>
        </is>
      </c>
      <c r="D100" s="31" t="inlineStr">
        <is>
          <t>Infernale Truhe</t>
        </is>
      </c>
      <c r="E100" s="31" t="inlineStr">
        <is>
          <t>Gruft Level 25</t>
        </is>
      </c>
      <c r="F100" s="31" t="n">
        <v>50</v>
      </c>
    </row>
    <row r="101" ht="15" customHeight="1" s="18">
      <c r="A101" s="31" t="inlineStr">
        <is>
          <t>2026-10-23 01:54</t>
        </is>
      </c>
      <c r="B101" s="31" t="inlineStr">
        <is>
          <t>TR-102</t>
        </is>
      </c>
      <c r="C101" s="31" t="inlineStr">
        <is>
          <t>invisible</t>
        </is>
      </c>
      <c r="D101" s="31" t="inlineStr">
        <is>
          <t>Skarabäus-Truhe</t>
        </is>
      </c>
      <c r="E101" s="31" t="inlineStr">
        <is>
          <t>Epische Gruft Level 25</t>
        </is>
      </c>
      <c r="F101" s="31" t="n">
        <v>50</v>
      </c>
    </row>
    <row r="102" ht="15" customHeight="1" s="18">
      <c r="A102" s="31" t="inlineStr">
        <is>
          <t>2026-10-23 01:54</t>
        </is>
      </c>
      <c r="B102" s="31" t="inlineStr">
        <is>
          <t>TR-103</t>
        </is>
      </c>
      <c r="C102" s="31" t="inlineStr">
        <is>
          <t>Mojo</t>
        </is>
      </c>
      <c r="D102" s="31" t="inlineStr">
        <is>
          <t>Barbarentruhe</t>
        </is>
      </c>
      <c r="E102" s="31" t="inlineStr">
        <is>
          <t>Gruft Level 25</t>
        </is>
      </c>
      <c r="F102" s="31" t="n">
        <v>25</v>
      </c>
    </row>
    <row r="103" ht="15" customHeight="1" s="18">
      <c r="A103" s="31" t="inlineStr">
        <is>
          <t>2026-10-23 01:54</t>
        </is>
      </c>
      <c r="B103" s="31" t="inlineStr">
        <is>
          <t>TR-104</t>
        </is>
      </c>
      <c r="C103" s="31" t="inlineStr">
        <is>
          <t>WYSIWYG</t>
        </is>
      </c>
      <c r="D103" s="31" t="inlineStr">
        <is>
          <t>Schöne Truhe</t>
        </is>
      </c>
      <c r="E103" s="31" t="inlineStr">
        <is>
          <t>Gruft Level 25</t>
        </is>
      </c>
      <c r="F103" s="31" t="n">
        <v>25</v>
      </c>
    </row>
    <row r="104" ht="15" customHeight="1" s="18">
      <c r="A104" s="31" t="inlineStr">
        <is>
          <t>2026-10-23 01:54</t>
        </is>
      </c>
      <c r="B104" s="31" t="inlineStr">
        <is>
          <t>TR-105</t>
        </is>
      </c>
      <c r="C104" s="31" t="inlineStr">
        <is>
          <t>WYSIWYG</t>
        </is>
      </c>
      <c r="D104" s="31" t="inlineStr">
        <is>
          <t>Vergessene Truhe</t>
        </is>
      </c>
      <c r="E104" s="31" t="inlineStr">
        <is>
          <t>Gruft Level 25</t>
        </is>
      </c>
      <c r="F104" s="31" t="n">
        <v>25</v>
      </c>
    </row>
    <row r="105" ht="15" customHeight="1" s="18">
      <c r="A105" s="31" t="inlineStr">
        <is>
          <t>2026-10-23 01:54</t>
        </is>
      </c>
      <c r="B105" s="31" t="inlineStr">
        <is>
          <t>TR-106</t>
        </is>
      </c>
      <c r="C105" s="31" t="inlineStr">
        <is>
          <t>WYSIWYG</t>
        </is>
      </c>
      <c r="D105" s="31" t="inlineStr">
        <is>
          <t>Schöne Truhe</t>
        </is>
      </c>
      <c r="E105" s="31" t="inlineStr">
        <is>
          <t>Gruft Level 25</t>
        </is>
      </c>
      <c r="F105" s="31" t="n">
        <v>25</v>
      </c>
    </row>
    <row r="106" ht="15" customHeight="1" s="18">
      <c r="A106" s="31" t="inlineStr">
        <is>
          <t>2026-10-23 01:54</t>
        </is>
      </c>
      <c r="B106" s="31" t="inlineStr">
        <is>
          <t>TR-107</t>
        </is>
      </c>
      <c r="C106" s="31" t="inlineStr">
        <is>
          <t>WYSIWYG</t>
        </is>
      </c>
      <c r="D106" s="31" t="inlineStr">
        <is>
          <t>Truhe der Zwergen-Werkstatt</t>
        </is>
      </c>
      <c r="E106" s="31" t="inlineStr">
        <is>
          <t>Gruft Level 25</t>
        </is>
      </c>
      <c r="F106" s="31" t="n">
        <v>25</v>
      </c>
    </row>
    <row r="107" ht="15" customHeight="1" s="18">
      <c r="A107" s="31" t="inlineStr">
        <is>
          <t>2026-10-23 01:54</t>
        </is>
      </c>
      <c r="B107" s="31" t="inlineStr">
        <is>
          <t>TR-108</t>
        </is>
      </c>
      <c r="C107" s="31" t="inlineStr">
        <is>
          <t>WYSIWYG</t>
        </is>
      </c>
      <c r="D107" s="31" t="inlineStr">
        <is>
          <t>Feuertruhe</t>
        </is>
      </c>
      <c r="E107" s="31" t="inlineStr">
        <is>
          <t>Gruft Level 25</t>
        </is>
      </c>
      <c r="F107" s="31" t="n">
        <v>25</v>
      </c>
    </row>
    <row r="108" ht="15" customHeight="1" s="18">
      <c r="A108" s="31" t="inlineStr">
        <is>
          <t>2026-10-23 01:54</t>
        </is>
      </c>
      <c r="B108" s="31" t="inlineStr">
        <is>
          <t>TR-109</t>
        </is>
      </c>
      <c r="C108" s="31" t="inlineStr">
        <is>
          <t>WYSIWYG</t>
        </is>
      </c>
      <c r="D108" s="31" t="inlineStr">
        <is>
          <t>Knochentruhe</t>
        </is>
      </c>
      <c r="E108" s="31" t="inlineStr">
        <is>
          <t>Gruft Level 25</t>
        </is>
      </c>
      <c r="F108" s="31" t="n">
        <v>25</v>
      </c>
    </row>
    <row r="109" ht="15" customHeight="1" s="18">
      <c r="A109" s="31" t="inlineStr">
        <is>
          <t>2026-10-23 01:55</t>
        </is>
      </c>
      <c r="B109" s="31" t="inlineStr">
        <is>
          <t>TR-110</t>
        </is>
      </c>
      <c r="C109" s="31" t="inlineStr">
        <is>
          <t>Granidred</t>
        </is>
      </c>
      <c r="D109" s="31" t="inlineStr">
        <is>
          <t>Truhe der Festung der Elfen</t>
        </is>
      </c>
      <c r="E109" s="31" t="inlineStr">
        <is>
          <t>Festung Level 20</t>
        </is>
      </c>
      <c r="F109" s="31" t="n">
        <v>20</v>
      </c>
    </row>
    <row r="110" ht="15" customHeight="1" s="18">
      <c r="A110" s="31" t="inlineStr">
        <is>
          <t>2026-10-23 01:55</t>
        </is>
      </c>
      <c r="B110" s="31" t="inlineStr">
        <is>
          <t>TR-111</t>
        </is>
      </c>
      <c r="C110" s="31" t="inlineStr">
        <is>
          <t>WYSIWYG</t>
        </is>
      </c>
      <c r="D110" s="31" t="inlineStr">
        <is>
          <t>Schöne Truhe</t>
        </is>
      </c>
      <c r="E110" s="31" t="inlineStr">
        <is>
          <t>Gruft Level 25</t>
        </is>
      </c>
      <c r="F110" s="31" t="n">
        <v>25</v>
      </c>
    </row>
    <row r="111" ht="15" customHeight="1" s="18">
      <c r="A111" s="31" t="inlineStr">
        <is>
          <t>2026-10-23 01:55</t>
        </is>
      </c>
      <c r="B111" s="31" t="inlineStr">
        <is>
          <t>TR-112</t>
        </is>
      </c>
      <c r="C111" s="31" t="inlineStr">
        <is>
          <t>WYSIWYG</t>
        </is>
      </c>
      <c r="D111" s="31" t="inlineStr">
        <is>
          <t>Schöne Truhe</t>
        </is>
      </c>
      <c r="E111" s="31" t="inlineStr">
        <is>
          <t>Gruft Level 25</t>
        </is>
      </c>
      <c r="F111" s="31" t="n">
        <v>25</v>
      </c>
    </row>
    <row r="112" ht="15" customHeight="1" s="18">
      <c r="A112" s="31" t="inlineStr">
        <is>
          <t>2026-10-23 01:55</t>
        </is>
      </c>
      <c r="B112" s="31" t="inlineStr">
        <is>
          <t>TR-113</t>
        </is>
      </c>
      <c r="C112" s="31" t="inlineStr">
        <is>
          <t>LegatusLabienus</t>
        </is>
      </c>
      <c r="D112" s="31" t="inlineStr">
        <is>
          <t>Saphir-Truhe</t>
        </is>
      </c>
      <c r="E112" s="31" t="inlineStr">
        <is>
          <t>Schatzkammer der Ahnen Level 25-29</t>
        </is>
      </c>
      <c r="F112" s="31" t="n">
        <v>50</v>
      </c>
    </row>
    <row r="113" ht="15" customHeight="1" s="18">
      <c r="A113" s="31" t="inlineStr">
        <is>
          <t>2026-10-23 01:55</t>
        </is>
      </c>
      <c r="B113" s="31" t="inlineStr">
        <is>
          <t>TR-114</t>
        </is>
      </c>
      <c r="C113" s="31" t="inlineStr">
        <is>
          <t>Granidred</t>
        </is>
      </c>
      <c r="D113" s="31" t="inlineStr">
        <is>
          <t>Truhe der Festung der Elfen</t>
        </is>
      </c>
      <c r="E113" s="31" t="inlineStr">
        <is>
          <t>Festung Level 20</t>
        </is>
      </c>
      <c r="F113" s="31" t="n">
        <v>20</v>
      </c>
    </row>
    <row r="114" ht="15" customHeight="1" s="18">
      <c r="A114" s="31" t="inlineStr">
        <is>
          <t>2026-10-23 01:55</t>
        </is>
      </c>
      <c r="B114" s="31" t="inlineStr">
        <is>
          <t>TR-115</t>
        </is>
      </c>
      <c r="C114" s="31" t="inlineStr">
        <is>
          <t>Mojo</t>
        </is>
      </c>
      <c r="D114" s="31" t="inlineStr">
        <is>
          <t>Feuertruhe</t>
        </is>
      </c>
      <c r="E114" s="31" t="inlineStr">
        <is>
          <t>Gruft Level 25</t>
        </is>
      </c>
      <c r="F114" s="31" t="n">
        <v>25</v>
      </c>
    </row>
    <row r="115" ht="15" customHeight="1" s="18">
      <c r="A115" s="31" t="inlineStr">
        <is>
          <t>2026-10-23 01:55</t>
        </is>
      </c>
      <c r="B115" s="31" t="inlineStr">
        <is>
          <t>TR-116</t>
        </is>
      </c>
      <c r="C115" s="31" t="inlineStr">
        <is>
          <t>Miss Dire</t>
        </is>
      </c>
      <c r="D115" s="31" t="inlineStr">
        <is>
          <t>Truhe der Kobra</t>
        </is>
      </c>
      <c r="E115" s="31" t="inlineStr">
        <is>
          <t>Gruft Level 25</t>
        </is>
      </c>
      <c r="F115" s="31" t="n">
        <v>25</v>
      </c>
    </row>
    <row r="116" ht="15" customHeight="1" s="18">
      <c r="A116" s="31" t="inlineStr">
        <is>
          <t>2026-10-23 01:55</t>
        </is>
      </c>
      <c r="B116" s="31" t="inlineStr">
        <is>
          <t>TR-117</t>
        </is>
      </c>
      <c r="C116" s="31" t="inlineStr">
        <is>
          <t>Miss Dire</t>
        </is>
      </c>
      <c r="D116" s="31" t="inlineStr">
        <is>
          <t>Sandtruhe</t>
        </is>
      </c>
      <c r="E116" s="31" t="inlineStr">
        <is>
          <t>Gruft Level 25</t>
        </is>
      </c>
      <c r="F116" s="31" t="n">
        <v>25</v>
      </c>
    </row>
    <row r="117" ht="15" customHeight="1" s="18">
      <c r="A117" s="31" t="inlineStr">
        <is>
          <t>2026-10-23 01:55</t>
        </is>
      </c>
      <c r="B117" s="31" t="inlineStr">
        <is>
          <t>TR-118</t>
        </is>
      </c>
      <c r="C117" s="31" t="inlineStr">
        <is>
          <t>Miss Dire</t>
        </is>
      </c>
      <c r="D117" s="31" t="inlineStr">
        <is>
          <t>Sandtruhe</t>
        </is>
      </c>
      <c r="E117" s="31" t="inlineStr">
        <is>
          <t>Gruft Level 25</t>
        </is>
      </c>
      <c r="F117" s="31" t="n">
        <v>25</v>
      </c>
    </row>
    <row r="118" ht="15" customHeight="1" s="18">
      <c r="A118" s="31" t="inlineStr">
        <is>
          <t>2026-10-23 01:55</t>
        </is>
      </c>
      <c r="B118" s="31" t="inlineStr">
        <is>
          <t>TR-119</t>
        </is>
      </c>
      <c r="C118" s="31" t="inlineStr">
        <is>
          <t>Mojo</t>
        </is>
      </c>
      <c r="D118" s="31" t="inlineStr">
        <is>
          <t>Feuertruhe</t>
        </is>
      </c>
      <c r="E118" s="31" t="inlineStr">
        <is>
          <t>Gruft Level 25</t>
        </is>
      </c>
      <c r="F118" s="31" t="n">
        <v>25</v>
      </c>
    </row>
    <row r="119" ht="15" customHeight="1" s="18">
      <c r="A119" s="31" t="inlineStr">
        <is>
          <t>2026-10-23 01:55</t>
        </is>
      </c>
      <c r="B119" s="31" t="inlineStr">
        <is>
          <t>TR-120</t>
        </is>
      </c>
      <c r="C119" s="31" t="inlineStr">
        <is>
          <t>PABLUS</t>
        </is>
      </c>
      <c r="D119" s="31" t="inlineStr">
        <is>
          <t>Weiße Holztruhe</t>
        </is>
      </c>
      <c r="E119" s="31" t="inlineStr">
        <is>
          <t>Epische Gruft Level 15</t>
        </is>
      </c>
      <c r="F119" s="31" t="n">
        <v>50</v>
      </c>
    </row>
    <row r="120" ht="15" customHeight="1" s="18">
      <c r="A120" s="31" t="inlineStr">
        <is>
          <t>2026-10-23 01:55</t>
        </is>
      </c>
      <c r="B120" s="31" t="inlineStr">
        <is>
          <t>TR-121</t>
        </is>
      </c>
      <c r="C120" s="31" t="inlineStr">
        <is>
          <t>WYSIWYG</t>
        </is>
      </c>
      <c r="D120" s="31" t="inlineStr">
        <is>
          <t>Seltene Drachentruhe</t>
        </is>
      </c>
      <c r="E120" s="31" t="inlineStr">
        <is>
          <t>Seltene Gruft Level 25</t>
        </is>
      </c>
      <c r="F120" s="31" t="n">
        <v>50</v>
      </c>
    </row>
    <row r="121" ht="15" customHeight="1" s="18">
      <c r="A121" s="31" t="inlineStr">
        <is>
          <t>2026-10-23 01:55</t>
        </is>
      </c>
      <c r="B121" s="31" t="inlineStr">
        <is>
          <t>TR-122</t>
        </is>
      </c>
      <c r="C121" s="31" t="inlineStr">
        <is>
          <t>WYSIWYG</t>
        </is>
      </c>
      <c r="D121" s="31" t="inlineStr">
        <is>
          <t>Seltene Drachentruhe</t>
        </is>
      </c>
      <c r="E121" s="31" t="inlineStr">
        <is>
          <t>Seltene Gruft Level 25</t>
        </is>
      </c>
      <c r="F121" s="31" t="n">
        <v>50</v>
      </c>
    </row>
    <row r="122" ht="15" customHeight="1" s="18">
      <c r="A122" s="31" t="inlineStr">
        <is>
          <t>2026-10-23 01:55</t>
        </is>
      </c>
      <c r="B122" s="31" t="inlineStr">
        <is>
          <t>TR-123</t>
        </is>
      </c>
      <c r="C122" s="31" t="inlineStr">
        <is>
          <t>WYSIWYG</t>
        </is>
      </c>
      <c r="D122" s="31" t="inlineStr">
        <is>
          <t>Truhe des Priesters</t>
        </is>
      </c>
      <c r="E122" s="31" t="inlineStr">
        <is>
          <t>Epische Gruft Level 20</t>
        </is>
      </c>
      <c r="F122" s="31" t="n">
        <v>50</v>
      </c>
    </row>
    <row r="123" ht="15" customHeight="1" s="18">
      <c r="A123" s="31" t="inlineStr">
        <is>
          <t>2026-10-23 01:56</t>
        </is>
      </c>
      <c r="B123" s="31" t="inlineStr">
        <is>
          <t>TR-124</t>
        </is>
      </c>
      <c r="C123" s="31" t="inlineStr">
        <is>
          <t>WYSIWYG</t>
        </is>
      </c>
      <c r="D123" s="31" t="inlineStr">
        <is>
          <t>Seltene Drachentruhe</t>
        </is>
      </c>
      <c r="E123" s="31" t="inlineStr">
        <is>
          <t>Seltene Gruft Level 25</t>
        </is>
      </c>
      <c r="F123" s="31" t="n">
        <v>50</v>
      </c>
    </row>
    <row r="124" ht="15" customHeight="1" s="18">
      <c r="A124" s="31" t="inlineStr">
        <is>
          <t>2026-10-23 01:56</t>
        </is>
      </c>
      <c r="B124" s="31" t="inlineStr">
        <is>
          <t>TR-125</t>
        </is>
      </c>
      <c r="C124" s="31" t="inlineStr">
        <is>
          <t>WYSIWYG</t>
        </is>
      </c>
      <c r="D124" s="31" t="inlineStr">
        <is>
          <t>Seltene Drachentruhe</t>
        </is>
      </c>
      <c r="E124" s="31" t="inlineStr">
        <is>
          <t>Seltene Gruft Level 25</t>
        </is>
      </c>
      <c r="F124" s="31" t="n">
        <v>50</v>
      </c>
    </row>
    <row r="125" ht="15" customHeight="1" s="18">
      <c r="A125" s="31" t="inlineStr">
        <is>
          <t>2026-10-23 01:56</t>
        </is>
      </c>
      <c r="B125" s="31" t="inlineStr">
        <is>
          <t>TR-126</t>
        </is>
      </c>
      <c r="C125" s="31" t="inlineStr">
        <is>
          <t>WYSIWYG</t>
        </is>
      </c>
      <c r="D125" s="31" t="inlineStr">
        <is>
          <t>Truhe des Priesters</t>
        </is>
      </c>
      <c r="E125" s="31" t="inlineStr">
        <is>
          <t>Epische Gruft Level 20</t>
        </is>
      </c>
      <c r="F125" s="31" t="n">
        <v>50</v>
      </c>
    </row>
    <row r="126" ht="15" customHeight="1" s="18">
      <c r="A126" s="31" t="inlineStr">
        <is>
          <t>2026-10-23 01:56</t>
        </is>
      </c>
      <c r="B126" s="31" t="inlineStr">
        <is>
          <t>TR-127</t>
        </is>
      </c>
      <c r="C126" s="31" t="inlineStr">
        <is>
          <t>WYSIWYG</t>
        </is>
      </c>
      <c r="D126" s="31" t="inlineStr">
        <is>
          <t>Kobalt-Truhe</t>
        </is>
      </c>
      <c r="E126" s="31" t="inlineStr">
        <is>
          <t>Epische Gruft Level 20</t>
        </is>
      </c>
      <c r="F126" s="31" t="n">
        <v>50</v>
      </c>
    </row>
    <row r="127" ht="15" customHeight="1" s="18">
      <c r="A127" s="31" t="inlineStr">
        <is>
          <t>2026-10-23 01:56</t>
        </is>
      </c>
      <c r="B127" s="31" t="inlineStr">
        <is>
          <t>TR-128</t>
        </is>
      </c>
      <c r="C127" s="31" t="inlineStr">
        <is>
          <t>DRACULA</t>
        </is>
      </c>
      <c r="D127" s="31" t="inlineStr">
        <is>
          <t>Seltene Drachentruhe</t>
        </is>
      </c>
      <c r="E127" s="31" t="inlineStr">
        <is>
          <t>Seltene Gruft Level 30</t>
        </is>
      </c>
      <c r="F127" s="31" t="n">
        <v>50</v>
      </c>
    </row>
    <row r="128" ht="15" customHeight="1" s="18">
      <c r="A128" s="31" t="inlineStr">
        <is>
          <t>2026-10-23 01:56</t>
        </is>
      </c>
      <c r="B128" s="31" t="inlineStr">
        <is>
          <t>TR-129</t>
        </is>
      </c>
      <c r="C128" s="31" t="inlineStr">
        <is>
          <t>gaviiCABJ</t>
        </is>
      </c>
      <c r="D128" s="31" t="inlineStr">
        <is>
          <t>Truhe der Zwergen-Werkstatt</t>
        </is>
      </c>
      <c r="E128" s="31" t="inlineStr">
        <is>
          <t>Gruft Level 10</t>
        </is>
      </c>
      <c r="F128" s="31" t="n">
        <v>25</v>
      </c>
    </row>
    <row r="129" ht="15" customHeight="1" s="18">
      <c r="A129" s="31" t="inlineStr">
        <is>
          <t>2026-10-23 01:56</t>
        </is>
      </c>
      <c r="B129" s="31" t="inlineStr">
        <is>
          <t>TR-130</t>
        </is>
      </c>
      <c r="C129" s="31" t="inlineStr">
        <is>
          <t>gaviiCABJ</t>
        </is>
      </c>
      <c r="D129" s="31" t="inlineStr">
        <is>
          <t>Barbarentruhe</t>
        </is>
      </c>
      <c r="E129" s="31" t="inlineStr">
        <is>
          <t>Gruft Level 5</t>
        </is>
      </c>
      <c r="F129" s="31" t="n">
        <v>25</v>
      </c>
    </row>
    <row r="130" ht="15" customHeight="1" s="18">
      <c r="A130" s="31" t="inlineStr">
        <is>
          <t>2026-10-23 01:56</t>
        </is>
      </c>
      <c r="B130" s="31" t="inlineStr">
        <is>
          <t>TR-131</t>
        </is>
      </c>
      <c r="C130" s="31" t="inlineStr">
        <is>
          <t>gaviiCABJ</t>
        </is>
      </c>
      <c r="D130" s="31" t="inlineStr">
        <is>
          <t>Infernale Truhe</t>
        </is>
      </c>
      <c r="E130" s="31" t="inlineStr">
        <is>
          <t>Gruft Level 10</t>
        </is>
      </c>
      <c r="F130" s="31" t="n">
        <v>25</v>
      </c>
    </row>
    <row r="131" ht="15" customHeight="1" s="18">
      <c r="A131" s="31" t="inlineStr">
        <is>
          <t>2026-10-23 01:56</t>
        </is>
      </c>
      <c r="B131" s="31" t="inlineStr">
        <is>
          <t>TR-132</t>
        </is>
      </c>
      <c r="C131" s="31" t="inlineStr">
        <is>
          <t>Mojo</t>
        </is>
      </c>
      <c r="D131" s="31" t="inlineStr">
        <is>
          <t>Knochentruhe</t>
        </is>
      </c>
      <c r="E131" s="31" t="inlineStr">
        <is>
          <t>Gruft Level 25</t>
        </is>
      </c>
      <c r="F131" s="31" t="n">
        <v>25</v>
      </c>
    </row>
    <row r="132" ht="15" customHeight="1" s="18">
      <c r="A132" s="31" t="inlineStr">
        <is>
          <t>2026-10-23 01:56</t>
        </is>
      </c>
      <c r="B132" s="31" t="inlineStr">
        <is>
          <t>TR-133</t>
        </is>
      </c>
      <c r="C132" s="31" t="inlineStr">
        <is>
          <t>man of war</t>
        </is>
      </c>
      <c r="D132" s="31" t="inlineStr">
        <is>
          <t>Saphir-Truhe</t>
        </is>
      </c>
      <c r="E132" s="31" t="inlineStr">
        <is>
          <t>Schatzkammer der Ahnen Level 35-39</t>
        </is>
      </c>
      <c r="F132" s="31" t="n">
        <v>50</v>
      </c>
    </row>
    <row r="133" ht="15" customHeight="1" s="18">
      <c r="A133" s="31" t="inlineStr">
        <is>
          <t>2026-10-23 01:56</t>
        </is>
      </c>
      <c r="B133" s="31" t="inlineStr">
        <is>
          <t>TR-134</t>
        </is>
      </c>
      <c r="C133" s="31" t="inlineStr">
        <is>
          <t>Vudorr</t>
        </is>
      </c>
      <c r="D133" s="31" t="inlineStr">
        <is>
          <t>Truhe der Maya</t>
        </is>
      </c>
      <c r="E133" s="31" t="inlineStr">
        <is>
          <t>Gruft Level 15</t>
        </is>
      </c>
      <c r="F133" s="31" t="n">
        <v>25</v>
      </c>
    </row>
    <row r="134" ht="15" customHeight="1" s="18">
      <c r="A134" s="31" t="inlineStr">
        <is>
          <t>2026-10-23 01:56</t>
        </is>
      </c>
      <c r="B134" s="31" t="inlineStr">
        <is>
          <t>TR-135</t>
        </is>
      </c>
      <c r="C134" s="31" t="inlineStr">
        <is>
          <t>Miss Dire</t>
        </is>
      </c>
      <c r="D134" s="31" t="inlineStr">
        <is>
          <t>Saphir-Truhe</t>
        </is>
      </c>
      <c r="E134" s="31" t="inlineStr">
        <is>
          <t>Schatzkammer der Ahnen Level 30-34</t>
        </is>
      </c>
      <c r="F134" s="31" t="n">
        <v>50</v>
      </c>
    </row>
    <row r="135" ht="15" customHeight="1" s="18">
      <c r="A135" s="31" t="inlineStr">
        <is>
          <t>2026-10-23 01:56</t>
        </is>
      </c>
      <c r="B135" s="31" t="inlineStr">
        <is>
          <t>TR-136</t>
        </is>
      </c>
      <c r="C135" s="31" t="inlineStr">
        <is>
          <t>Vudorr</t>
        </is>
      </c>
      <c r="D135" s="31" t="inlineStr">
        <is>
          <t>Truhe der Kobra</t>
        </is>
      </c>
      <c r="E135" s="31" t="inlineStr">
        <is>
          <t>Gruft Level 15</t>
        </is>
      </c>
      <c r="F135" s="31" t="n">
        <v>25</v>
      </c>
    </row>
    <row r="136" ht="15" customHeight="1" s="18">
      <c r="A136" s="31" t="inlineStr">
        <is>
          <t>2026-10-23 01:56</t>
        </is>
      </c>
      <c r="B136" s="31" t="inlineStr">
        <is>
          <t>TR-137</t>
        </is>
      </c>
      <c r="C136" s="31" t="inlineStr">
        <is>
          <t>kikito</t>
        </is>
      </c>
      <c r="D136" s="31" t="inlineStr">
        <is>
          <t>Seltene Drachentruhe</t>
        </is>
      </c>
      <c r="E136" s="31" t="inlineStr">
        <is>
          <t>Seltene Gruft Level 25</t>
        </is>
      </c>
      <c r="F136" s="31" t="n">
        <v>50</v>
      </c>
    </row>
    <row r="137" ht="15" customHeight="1" s="18">
      <c r="A137" s="31" t="inlineStr">
        <is>
          <t>2026-10-23 01:57</t>
        </is>
      </c>
      <c r="B137" s="31" t="inlineStr">
        <is>
          <t>TR-138</t>
        </is>
      </c>
      <c r="C137" s="31" t="inlineStr">
        <is>
          <t>man of war</t>
        </is>
      </c>
      <c r="D137" s="31" t="inlineStr">
        <is>
          <t>Saphir-Truhe</t>
        </is>
      </c>
      <c r="E137" s="31" t="inlineStr">
        <is>
          <t>Schatzkammer der Ahnen Level 35-39</t>
        </is>
      </c>
      <c r="F137" s="31" t="n">
        <v>50</v>
      </c>
    </row>
    <row r="138" ht="15" customHeight="1" s="18">
      <c r="A138" s="31" t="inlineStr">
        <is>
          <t>2026-10-23 01:57</t>
        </is>
      </c>
      <c r="B138" s="31" t="inlineStr">
        <is>
          <t>TR-139</t>
        </is>
      </c>
      <c r="C138" s="31" t="inlineStr">
        <is>
          <t>Vudorr</t>
        </is>
      </c>
      <c r="D138" s="31" t="inlineStr">
        <is>
          <t>Truhe der Zwergen-Werkstatt</t>
        </is>
      </c>
      <c r="E138" s="31" t="inlineStr">
        <is>
          <t>Gruft Level 15</t>
        </is>
      </c>
      <c r="F138" s="31" t="n">
        <v>25</v>
      </c>
    </row>
    <row r="139" ht="15" customHeight="1" s="18">
      <c r="A139" s="31" t="inlineStr">
        <is>
          <t>2026-10-23 01:57</t>
        </is>
      </c>
      <c r="B139" s="31" t="inlineStr">
        <is>
          <t>TR-140</t>
        </is>
      </c>
      <c r="C139" s="31" t="inlineStr">
        <is>
          <t>LegatusLabienus</t>
        </is>
      </c>
      <c r="D139" s="31" t="inlineStr">
        <is>
          <t>Saphir-Truhe</t>
        </is>
      </c>
      <c r="E139" s="31" t="inlineStr">
        <is>
          <t>Schatzkammer der Ahnen Level 40-44</t>
        </is>
      </c>
      <c r="F139" s="31" t="n">
        <v>50</v>
      </c>
    </row>
    <row r="140" ht="15" customHeight="1" s="18">
      <c r="A140" s="31" t="inlineStr">
        <is>
          <t>2026-10-23 01:57</t>
        </is>
      </c>
      <c r="B140" s="31" t="inlineStr">
        <is>
          <t>TR-141</t>
        </is>
      </c>
      <c r="C140" s="31" t="inlineStr">
        <is>
          <t>man of war</t>
        </is>
      </c>
      <c r="D140" s="31" t="inlineStr">
        <is>
          <t>Vergessene Truhe</t>
        </is>
      </c>
      <c r="E140" s="31" t="inlineStr">
        <is>
          <t>Gruft Level 25</t>
        </is>
      </c>
      <c r="F140" s="31" t="n">
        <v>25</v>
      </c>
    </row>
    <row r="141" ht="15" customHeight="1" s="18">
      <c r="A141" s="31" t="inlineStr">
        <is>
          <t>2026-10-23 01:57</t>
        </is>
      </c>
      <c r="B141" s="31" t="inlineStr">
        <is>
          <t>TR-142</t>
        </is>
      </c>
      <c r="C141" s="31" t="inlineStr">
        <is>
          <t>Kariel</t>
        </is>
      </c>
      <c r="D141" s="31" t="inlineStr">
        <is>
          <t>Truhe der Festung der Verfluchten</t>
        </is>
      </c>
      <c r="E141" s="31" t="inlineStr">
        <is>
          <t>Festung Level 25</t>
        </is>
      </c>
      <c r="F141" s="31" t="n">
        <v>25</v>
      </c>
    </row>
    <row r="142" ht="15" customHeight="1" s="18">
      <c r="A142" s="31" t="inlineStr">
        <is>
          <t>2026-10-23 01:57</t>
        </is>
      </c>
      <c r="B142" s="31" t="inlineStr">
        <is>
          <t>TR-143</t>
        </is>
      </c>
      <c r="C142" s="31" t="inlineStr">
        <is>
          <t>man of war</t>
        </is>
      </c>
      <c r="D142" s="31" t="inlineStr">
        <is>
          <t>Knochentruhe</t>
        </is>
      </c>
      <c r="E142" s="31" t="inlineStr">
        <is>
          <t>Gruft Level 25</t>
        </is>
      </c>
      <c r="F142" s="31" t="n">
        <v>25</v>
      </c>
    </row>
    <row r="143" ht="15" customHeight="1" s="18">
      <c r="A143" s="31" t="inlineStr">
        <is>
          <t>2026-10-23 01:57</t>
        </is>
      </c>
      <c r="B143" s="31" t="inlineStr">
        <is>
          <t>TR-144</t>
        </is>
      </c>
      <c r="C143" s="31" t="inlineStr">
        <is>
          <t>man of war</t>
        </is>
      </c>
      <c r="D143" s="31" t="inlineStr">
        <is>
          <t>Saphir-Truhe</t>
        </is>
      </c>
      <c r="E143" s="31" t="inlineStr">
        <is>
          <t>Schatzkammer der Ahnen Level 30-34</t>
        </is>
      </c>
      <c r="F143" s="31" t="n">
        <v>50</v>
      </c>
    </row>
    <row r="144" ht="15" customHeight="1" s="18">
      <c r="A144" s="31" t="inlineStr">
        <is>
          <t>2026-10-23 01:57</t>
        </is>
      </c>
      <c r="B144" s="31" t="inlineStr">
        <is>
          <t>TR-145</t>
        </is>
      </c>
      <c r="C144" s="31" t="inlineStr">
        <is>
          <t>Delalen</t>
        </is>
      </c>
      <c r="D144" s="31" t="inlineStr">
        <is>
          <t>Kürbistruhe</t>
        </is>
      </c>
      <c r="E144" s="31" t="inlineStr">
        <is>
          <t>Kürbis</t>
        </is>
      </c>
      <c r="F144" s="31" t="n">
        <v>25</v>
      </c>
    </row>
    <row r="145" ht="15" customHeight="1" s="18">
      <c r="A145" s="31" t="inlineStr">
        <is>
          <t>2026-10-23 01:57</t>
        </is>
      </c>
      <c r="B145" s="31" t="inlineStr">
        <is>
          <t>TR-146</t>
        </is>
      </c>
      <c r="C145" s="31" t="inlineStr">
        <is>
          <t>man of war</t>
        </is>
      </c>
      <c r="D145" s="31" t="inlineStr">
        <is>
          <t>Sandtruhe</t>
        </is>
      </c>
      <c r="E145" s="31" t="inlineStr">
        <is>
          <t>Gruft Level 25</t>
        </is>
      </c>
      <c r="F145" s="31" t="n">
        <v>25</v>
      </c>
    </row>
    <row r="146" ht="15" customHeight="1" s="18">
      <c r="A146" s="31" t="inlineStr">
        <is>
          <t>2026-10-23 01:57</t>
        </is>
      </c>
      <c r="B146" s="31" t="inlineStr">
        <is>
          <t>TR-147</t>
        </is>
      </c>
      <c r="C146" s="31" t="inlineStr">
        <is>
          <t>invisible</t>
        </is>
      </c>
      <c r="D146" s="31" t="inlineStr">
        <is>
          <t>Infernale Truhe</t>
        </is>
      </c>
      <c r="E146" s="31" t="inlineStr">
        <is>
          <t>Gruft Level 25</t>
        </is>
      </c>
      <c r="F146" s="31" t="n">
        <v>50</v>
      </c>
    </row>
    <row r="147" ht="15" customHeight="1" s="18">
      <c r="A147" s="31" t="inlineStr">
        <is>
          <t>2026-10-23 01:57</t>
        </is>
      </c>
      <c r="B147" s="31" t="inlineStr">
        <is>
          <t>TR-148</t>
        </is>
      </c>
      <c r="C147" s="31" t="inlineStr">
        <is>
          <t>Kariel</t>
        </is>
      </c>
      <c r="D147" s="31" t="inlineStr">
        <is>
          <t>Truhe der Maya</t>
        </is>
      </c>
      <c r="E147" s="31" t="inlineStr">
        <is>
          <t>Gruft Level 25</t>
        </is>
      </c>
      <c r="F147" s="31" t="n">
        <v>25</v>
      </c>
    </row>
    <row r="148" ht="15" customHeight="1" s="18">
      <c r="A148" s="31" t="inlineStr">
        <is>
          <t>2026-10-23 01:57</t>
        </is>
      </c>
      <c r="B148" s="31" t="inlineStr">
        <is>
          <t>TR-149</t>
        </is>
      </c>
      <c r="C148" s="31" t="inlineStr">
        <is>
          <t>Vudorr</t>
        </is>
      </c>
      <c r="D148" s="31" t="inlineStr">
        <is>
          <t>Kürbistruhe</t>
        </is>
      </c>
      <c r="E148" s="31" t="inlineStr">
        <is>
          <t>Kürbis</t>
        </is>
      </c>
      <c r="F148" s="31" t="n">
        <v>25</v>
      </c>
    </row>
    <row r="149" ht="15" customHeight="1" s="18">
      <c r="A149" s="31" t="inlineStr">
        <is>
          <t>2026-10-23 01:57</t>
        </is>
      </c>
      <c r="B149" s="31" t="inlineStr">
        <is>
          <t>TR-150</t>
        </is>
      </c>
      <c r="C149" s="31" t="inlineStr">
        <is>
          <t>Kariel</t>
        </is>
      </c>
      <c r="D149" s="31" t="inlineStr">
        <is>
          <t>Truhe der Maya</t>
        </is>
      </c>
      <c r="E149" s="31" t="inlineStr">
        <is>
          <t>Gruft Level 25</t>
        </is>
      </c>
      <c r="F149" s="31" t="n">
        <v>25</v>
      </c>
    </row>
    <row r="150" ht="15" customHeight="1" s="18">
      <c r="A150" s="31" t="inlineStr">
        <is>
          <t>2026-10-23 01:57</t>
        </is>
      </c>
      <c r="B150" s="31" t="inlineStr">
        <is>
          <t>TR-151</t>
        </is>
      </c>
      <c r="C150" s="31" t="inlineStr">
        <is>
          <t>invisible</t>
        </is>
      </c>
      <c r="D150" s="31" t="inlineStr">
        <is>
          <t>Infernale Truhe</t>
        </is>
      </c>
      <c r="E150" s="31" t="inlineStr">
        <is>
          <t>Gruft Level 25</t>
        </is>
      </c>
      <c r="F150" s="31" t="n">
        <v>50</v>
      </c>
    </row>
    <row r="151" ht="15" customHeight="1" s="18">
      <c r="A151" s="31" t="inlineStr">
        <is>
          <t>2026-10-23 01:57</t>
        </is>
      </c>
      <c r="B151" s="31" t="inlineStr">
        <is>
          <t>TR-152</t>
        </is>
      </c>
      <c r="C151" s="31" t="inlineStr">
        <is>
          <t>Vudorr</t>
        </is>
      </c>
      <c r="D151" s="31" t="inlineStr">
        <is>
          <t>Kürbistruhe</t>
        </is>
      </c>
      <c r="E151" s="31" t="inlineStr">
        <is>
          <t>Kürbis</t>
        </is>
      </c>
      <c r="F151" s="31" t="n">
        <v>50</v>
      </c>
    </row>
    <row r="152" ht="15" customHeight="1" s="18">
      <c r="A152" s="31" t="inlineStr">
        <is>
          <t>2026-10-23 01:57</t>
        </is>
      </c>
      <c r="B152" s="31" t="inlineStr">
        <is>
          <t>TR-153</t>
        </is>
      </c>
      <c r="C152" s="31" t="inlineStr">
        <is>
          <t>kikito</t>
        </is>
      </c>
      <c r="D152" s="31" t="inlineStr">
        <is>
          <t>Kürbistruhe</t>
        </is>
      </c>
      <c r="E152" s="31" t="inlineStr">
        <is>
          <t>Kürbis</t>
        </is>
      </c>
      <c r="F152" s="31" t="n">
        <v>50</v>
      </c>
    </row>
    <row r="153" ht="15" customHeight="1" s="18">
      <c r="A153" s="31" t="inlineStr">
        <is>
          <t>2026-10-23 01:57</t>
        </is>
      </c>
      <c r="B153" s="31" t="inlineStr">
        <is>
          <t>TR-154</t>
        </is>
      </c>
      <c r="C153" s="31" t="inlineStr">
        <is>
          <t>PABLUS</t>
        </is>
      </c>
      <c r="D153" s="31" t="inlineStr">
        <is>
          <t>Kürbistruhe</t>
        </is>
      </c>
      <c r="E153" s="31" t="inlineStr">
        <is>
          <t>Kürbis</t>
        </is>
      </c>
      <c r="F153" s="31" t="n">
        <v>50</v>
      </c>
    </row>
    <row r="154" ht="15" customHeight="1" s="18">
      <c r="A154" s="31" t="inlineStr">
        <is>
          <t>2026-10-23 01:57</t>
        </is>
      </c>
      <c r="B154" s="31" t="inlineStr">
        <is>
          <t>TR-155</t>
        </is>
      </c>
      <c r="C154" s="31" t="inlineStr">
        <is>
          <t>Miss Dire</t>
        </is>
      </c>
      <c r="D154" s="31" t="inlineStr">
        <is>
          <t>Kürbistruhe</t>
        </is>
      </c>
      <c r="E154" s="31" t="inlineStr">
        <is>
          <t>Kürbis</t>
        </is>
      </c>
      <c r="F154" s="31" t="n">
        <v>50</v>
      </c>
    </row>
    <row r="155" ht="15" customHeight="1" s="18">
      <c r="A155" s="31" t="inlineStr">
        <is>
          <t>2026-10-23 01:57</t>
        </is>
      </c>
      <c r="B155" s="31" t="inlineStr">
        <is>
          <t>TR-156</t>
        </is>
      </c>
      <c r="C155" s="31" t="inlineStr">
        <is>
          <t>man of war</t>
        </is>
      </c>
      <c r="D155" s="31" t="inlineStr">
        <is>
          <t>Truhe der Orks</t>
        </is>
      </c>
      <c r="E155" s="31" t="inlineStr">
        <is>
          <t>Gruft Level 25</t>
        </is>
      </c>
      <c r="F155" s="31" t="n">
        <v>25</v>
      </c>
    </row>
    <row r="156" ht="15" customHeight="1" s="18">
      <c r="A156" s="31" t="inlineStr">
        <is>
          <t>2026-10-23 01:57</t>
        </is>
      </c>
      <c r="B156" s="31" t="inlineStr">
        <is>
          <t>TR-157</t>
        </is>
      </c>
      <c r="C156" s="31" t="inlineStr">
        <is>
          <t>man of war</t>
        </is>
      </c>
      <c r="D156" s="31" t="inlineStr">
        <is>
          <t>Saphir-Truhe</t>
        </is>
      </c>
      <c r="E156" s="31" t="inlineStr">
        <is>
          <t>Schatzkammer der Ahnen Level 45</t>
        </is>
      </c>
      <c r="F156" s="31" t="n">
        <v>50</v>
      </c>
    </row>
    <row r="157" ht="15" customHeight="1" s="18">
      <c r="A157" s="31" t="inlineStr">
        <is>
          <t>2026-10-23 01:57</t>
        </is>
      </c>
      <c r="B157" s="31" t="inlineStr">
        <is>
          <t>TR-158</t>
        </is>
      </c>
      <c r="C157" s="31" t="inlineStr">
        <is>
          <t>LedZep2</t>
        </is>
      </c>
      <c r="D157" s="31" t="inlineStr">
        <is>
          <t>Truhe der Kobra</t>
        </is>
      </c>
      <c r="E157" s="31" t="inlineStr">
        <is>
          <t>Gruft Level 25</t>
        </is>
      </c>
      <c r="F157" s="31" t="n">
        <v>25</v>
      </c>
    </row>
    <row r="158" ht="15" customHeight="1" s="18">
      <c r="A158" s="31" t="inlineStr">
        <is>
          <t>2026-10-23 01:57</t>
        </is>
      </c>
      <c r="B158" s="31" t="inlineStr">
        <is>
          <t>TR-159</t>
        </is>
      </c>
      <c r="C158" s="31" t="inlineStr">
        <is>
          <t>LedZep2</t>
        </is>
      </c>
      <c r="D158" s="31" t="inlineStr">
        <is>
          <t>Schöne Truhe</t>
        </is>
      </c>
      <c r="E158" s="31" t="inlineStr">
        <is>
          <t>Gruft Level 25</t>
        </is>
      </c>
      <c r="F158" s="31" t="n">
        <v>25</v>
      </c>
    </row>
    <row r="159" ht="15" customHeight="1" s="18">
      <c r="A159" s="31" t="inlineStr">
        <is>
          <t>2026-10-23 01:57</t>
        </is>
      </c>
      <c r="B159" s="31" t="inlineStr">
        <is>
          <t>TR-160</t>
        </is>
      </c>
      <c r="C159" s="31" t="inlineStr">
        <is>
          <t>LedZep2</t>
        </is>
      </c>
      <c r="D159" s="31" t="inlineStr">
        <is>
          <t>Sandtruhe</t>
        </is>
      </c>
      <c r="E159" s="31" t="inlineStr">
        <is>
          <t>Gruft Level 25</t>
        </is>
      </c>
      <c r="F159" s="31" t="n">
        <v>25</v>
      </c>
    </row>
    <row r="160" ht="15" customHeight="1" s="18">
      <c r="A160" s="31" t="inlineStr">
        <is>
          <t>2026-10-23 01:57</t>
        </is>
      </c>
      <c r="B160" s="31" t="inlineStr">
        <is>
          <t>TR-161</t>
        </is>
      </c>
      <c r="C160" s="31" t="inlineStr">
        <is>
          <t>Maem</t>
        </is>
      </c>
      <c r="D160" s="31" t="inlineStr">
        <is>
          <t>Vergessene Truhe</t>
        </is>
      </c>
      <c r="E160" s="31" t="inlineStr">
        <is>
          <t>Gruft Level 25</t>
        </is>
      </c>
      <c r="F160" s="31" t="n">
        <v>25</v>
      </c>
    </row>
    <row r="161" ht="15" customHeight="1" s="18">
      <c r="A161" s="31" t="inlineStr">
        <is>
          <t>2026-10-23 01:58</t>
        </is>
      </c>
      <c r="B161" s="31" t="inlineStr">
        <is>
          <t>TR-162</t>
        </is>
      </c>
      <c r="C161" s="31" t="inlineStr">
        <is>
          <t>man of war</t>
        </is>
      </c>
      <c r="D161" s="31" t="inlineStr">
        <is>
          <t>Saphir-Truhe</t>
        </is>
      </c>
      <c r="E161" s="31" t="inlineStr">
        <is>
          <t>Schatzkammer der Ahnen Level 35-39</t>
        </is>
      </c>
      <c r="F161" s="31" t="n">
        <v>50</v>
      </c>
    </row>
    <row r="162" ht="15" customHeight="1" s="18">
      <c r="A162" s="31" t="inlineStr">
        <is>
          <t>2026-10-23 01:58</t>
        </is>
      </c>
      <c r="B162" s="31" t="inlineStr">
        <is>
          <t>TR-163</t>
        </is>
      </c>
      <c r="C162" s="31" t="inlineStr">
        <is>
          <t>Vudorr</t>
        </is>
      </c>
      <c r="D162" s="31" t="inlineStr">
        <is>
          <t>Kürbistruhe</t>
        </is>
      </c>
      <c r="E162" s="31" t="inlineStr">
        <is>
          <t>Kürbis</t>
        </is>
      </c>
      <c r="F162" s="31" t="n">
        <v>50</v>
      </c>
    </row>
    <row r="163" ht="15" customHeight="1" s="18">
      <c r="A163" s="31" t="inlineStr">
        <is>
          <t>2026-10-23 01:58</t>
        </is>
      </c>
      <c r="B163" s="31" t="inlineStr">
        <is>
          <t>TR-164</t>
        </is>
      </c>
      <c r="C163" s="31" t="inlineStr">
        <is>
          <t>Que</t>
        </is>
      </c>
      <c r="D163" s="31" t="inlineStr">
        <is>
          <t>Barbarentruhe</t>
        </is>
      </c>
      <c r="E163" s="31" t="inlineStr">
        <is>
          <t>Gruft Level 25</t>
        </is>
      </c>
      <c r="F163" s="31" t="n">
        <v>25</v>
      </c>
    </row>
    <row r="164" ht="15" customHeight="1" s="18">
      <c r="A164" s="31" t="inlineStr">
        <is>
          <t>2026-10-23 01:58</t>
        </is>
      </c>
      <c r="B164" s="31" t="inlineStr">
        <is>
          <t>TR-165</t>
        </is>
      </c>
      <c r="C164" s="31" t="inlineStr">
        <is>
          <t>Que</t>
        </is>
      </c>
      <c r="D164" s="31" t="inlineStr">
        <is>
          <t>Knochentruhe</t>
        </is>
      </c>
      <c r="E164" s="31" t="inlineStr">
        <is>
          <t>Gruft Level 25</t>
        </is>
      </c>
      <c r="F164" s="31" t="n">
        <v>25</v>
      </c>
    </row>
    <row r="165" ht="15" customHeight="1" s="18">
      <c r="A165" s="31" t="inlineStr">
        <is>
          <t>2026-10-23 01:58</t>
        </is>
      </c>
      <c r="B165" s="31" t="inlineStr">
        <is>
          <t>TR-166</t>
        </is>
      </c>
      <c r="C165" s="31" t="inlineStr">
        <is>
          <t>Que</t>
        </is>
      </c>
      <c r="D165" s="31" t="inlineStr">
        <is>
          <t>Truhe der Orks</t>
        </is>
      </c>
      <c r="E165" s="31" t="inlineStr">
        <is>
          <t>Gruft Level 25</t>
        </is>
      </c>
      <c r="F165" s="31" t="n">
        <v>25</v>
      </c>
    </row>
    <row r="166" ht="15" customHeight="1" s="18">
      <c r="A166" s="31" t="inlineStr">
        <is>
          <t>2026-10-23 01:58</t>
        </is>
      </c>
      <c r="B166" s="31" t="inlineStr">
        <is>
          <t>TR-167</t>
        </is>
      </c>
      <c r="C166" s="31" t="inlineStr">
        <is>
          <t>Son Of Algéri</t>
        </is>
      </c>
      <c r="D166" s="31" t="inlineStr">
        <is>
          <t>Kürbistruhe</t>
        </is>
      </c>
      <c r="E166" s="31" t="inlineStr">
        <is>
          <t>Kürbis</t>
        </is>
      </c>
      <c r="F166" s="31" t="n">
        <v>50</v>
      </c>
    </row>
    <row r="167" ht="15" customHeight="1" s="18">
      <c r="A167" s="31" t="inlineStr">
        <is>
          <t>2026-10-23 01:58</t>
        </is>
      </c>
      <c r="B167" s="31" t="inlineStr">
        <is>
          <t>TR-168</t>
        </is>
      </c>
      <c r="C167" s="31" t="inlineStr">
        <is>
          <t>kikito</t>
        </is>
      </c>
      <c r="D167" s="31" t="inlineStr">
        <is>
          <t>Seltene Drachentruhe</t>
        </is>
      </c>
      <c r="E167" s="31" t="inlineStr">
        <is>
          <t>Seltene Gruft Level 25</t>
        </is>
      </c>
      <c r="F167" s="31" t="n">
        <v>25</v>
      </c>
    </row>
    <row r="168" ht="15" customHeight="1" s="18">
      <c r="A168" s="31" t="inlineStr">
        <is>
          <t>2026-10-23 01:58</t>
        </is>
      </c>
      <c r="B168" s="31" t="inlineStr">
        <is>
          <t>TR-169</t>
        </is>
      </c>
      <c r="C168" s="31" t="inlineStr">
        <is>
          <t>kikito</t>
        </is>
      </c>
      <c r="D168" s="31" t="inlineStr">
        <is>
          <t>Saphir-Truhe</t>
        </is>
      </c>
      <c r="E168" s="31" t="inlineStr">
        <is>
          <t>Schatzkammer der Ahnen Level 35-39</t>
        </is>
      </c>
      <c r="F168" s="31" t="n">
        <v>50</v>
      </c>
    </row>
    <row r="169" ht="15" customHeight="1" s="18">
      <c r="A169" s="31" t="inlineStr">
        <is>
          <t>2026-10-23 01:58</t>
        </is>
      </c>
      <c r="B169" s="31" t="inlineStr">
        <is>
          <t>TR-170</t>
        </is>
      </c>
      <c r="C169" s="31" t="inlineStr">
        <is>
          <t>LegatusLabienus</t>
        </is>
      </c>
      <c r="D169" s="31" t="inlineStr">
        <is>
          <t>Saphir-Truhe</t>
        </is>
      </c>
      <c r="E169" s="31" t="inlineStr">
        <is>
          <t>Schatzkammer der Ahnen Level 35-39</t>
        </is>
      </c>
      <c r="F169" s="31" t="n">
        <v>50</v>
      </c>
    </row>
    <row r="170" ht="15" customHeight="1" s="18">
      <c r="A170" s="31" t="inlineStr">
        <is>
          <t>2026-10-23 01:59</t>
        </is>
      </c>
      <c r="B170" s="31" t="inlineStr">
        <is>
          <t>TR-171</t>
        </is>
      </c>
      <c r="C170" s="31" t="inlineStr">
        <is>
          <t>LegatusLabienus</t>
        </is>
      </c>
      <c r="D170" s="31" t="inlineStr">
        <is>
          <t>Saphir-Truhe</t>
        </is>
      </c>
      <c r="E170" s="31" t="inlineStr">
        <is>
          <t>Schatzkammer der Ahnen Level 35-39</t>
        </is>
      </c>
      <c r="F170" s="31" t="n">
        <v>50</v>
      </c>
    </row>
    <row r="171" ht="15" customHeight="1" s="18">
      <c r="A171" s="31" t="inlineStr">
        <is>
          <t>2026-10-23 01:59</t>
        </is>
      </c>
      <c r="B171" s="31" t="inlineStr">
        <is>
          <t>TR-172</t>
        </is>
      </c>
      <c r="C171" s="31" t="inlineStr">
        <is>
          <t>Maem</t>
        </is>
      </c>
      <c r="D171" s="31" t="inlineStr">
        <is>
          <t>Vergessene Truhe</t>
        </is>
      </c>
      <c r="E171" s="31" t="inlineStr">
        <is>
          <t>Gruft Level 25</t>
        </is>
      </c>
      <c r="F171" s="31" t="n">
        <v>25</v>
      </c>
    </row>
    <row r="172" ht="15" customHeight="1" s="18">
      <c r="A172" s="31" t="inlineStr">
        <is>
          <t>2026-10-23 01:59</t>
        </is>
      </c>
      <c r="B172" s="31" t="inlineStr">
        <is>
          <t>TR-173</t>
        </is>
      </c>
      <c r="C172" s="31" t="inlineStr">
        <is>
          <t>LedZep2</t>
        </is>
      </c>
      <c r="D172" s="31" t="inlineStr">
        <is>
          <t>Saphir-Truhe</t>
        </is>
      </c>
      <c r="E172" s="31" t="inlineStr">
        <is>
          <t>Schatzkammer der Ahnen Level 30-34</t>
        </is>
      </c>
      <c r="F172" s="31" t="n">
        <v>50</v>
      </c>
    </row>
    <row r="173" ht="15" customHeight="1" s="18">
      <c r="A173" s="31" t="inlineStr">
        <is>
          <t>2026-10-23 01:59</t>
        </is>
      </c>
      <c r="B173" s="31" t="inlineStr">
        <is>
          <t>TR-174</t>
        </is>
      </c>
      <c r="C173" s="31" t="inlineStr">
        <is>
          <t>LedZep2</t>
        </is>
      </c>
      <c r="D173" s="31" t="inlineStr">
        <is>
          <t>Saphir-Truhe</t>
        </is>
      </c>
      <c r="E173" s="31" t="inlineStr">
        <is>
          <t>Schatzkammer der Ahnen Level 35-39</t>
        </is>
      </c>
      <c r="F173" s="31" t="n">
        <v>50</v>
      </c>
    </row>
    <row r="174" ht="15" customHeight="1" s="18">
      <c r="A174" s="31" t="inlineStr">
        <is>
          <t>2026-10-23 01:59</t>
        </is>
      </c>
      <c r="B174" s="31" t="inlineStr">
        <is>
          <t>TR-175</t>
        </is>
      </c>
      <c r="C174" s="31" t="inlineStr">
        <is>
          <t>kikito</t>
        </is>
      </c>
      <c r="D174" s="31" t="inlineStr">
        <is>
          <t>Saphir-Truhe</t>
        </is>
      </c>
      <c r="E174" s="31" t="inlineStr">
        <is>
          <t>Schatzkammer der Ahnen Level 25-29</t>
        </is>
      </c>
      <c r="F174" s="31" t="n">
        <v>50</v>
      </c>
    </row>
    <row r="175" ht="15" customHeight="1" s="18">
      <c r="A175" s="31" t="inlineStr">
        <is>
          <t>2026-10-23 01:59</t>
        </is>
      </c>
      <c r="B175" s="31" t="inlineStr">
        <is>
          <t>TR-176</t>
        </is>
      </c>
      <c r="C175" s="31" t="inlineStr">
        <is>
          <t>Maem</t>
        </is>
      </c>
      <c r="D175" s="31" t="inlineStr">
        <is>
          <t>Weiße Holztruhe</t>
        </is>
      </c>
      <c r="E175" s="31" t="inlineStr">
        <is>
          <t>Epische Gruft Level 25</t>
        </is>
      </c>
      <c r="F175" s="31" t="n">
        <v>25</v>
      </c>
    </row>
    <row r="176" ht="15" customHeight="1" s="18">
      <c r="A176" s="31" t="inlineStr">
        <is>
          <t>2026-10-23 01:59</t>
        </is>
      </c>
      <c r="B176" s="31" t="inlineStr">
        <is>
          <t>TR-177</t>
        </is>
      </c>
      <c r="C176" s="31" t="inlineStr">
        <is>
          <t>Maem</t>
        </is>
      </c>
      <c r="D176" s="31" t="inlineStr">
        <is>
          <t>Jörmungandrs Truhe</t>
        </is>
      </c>
      <c r="E176" s="31" t="inlineStr">
        <is>
          <t>Jörmungandr-Shop</t>
        </is>
      </c>
      <c r="F176" s="31" t="n">
        <v>50</v>
      </c>
    </row>
    <row r="177" ht="15" customHeight="1" s="18">
      <c r="A177" s="31" t="inlineStr">
        <is>
          <t>2026-10-23 02:00</t>
        </is>
      </c>
      <c r="B177" s="31" t="inlineStr">
        <is>
          <t>TR-178</t>
        </is>
      </c>
      <c r="C177" s="31" t="inlineStr">
        <is>
          <t>Maem</t>
        </is>
      </c>
      <c r="D177" s="31" t="inlineStr">
        <is>
          <t>Jörmungandrs Truhe</t>
        </is>
      </c>
      <c r="E177" s="31" t="inlineStr">
        <is>
          <t>Jörmungandr-Shop</t>
        </is>
      </c>
      <c r="F177" s="31" t="n">
        <v>50</v>
      </c>
    </row>
    <row r="178" ht="15" customHeight="1" s="18">
      <c r="A178" s="31" t="inlineStr">
        <is>
          <t>2026-10-23 02:00</t>
        </is>
      </c>
      <c r="B178" s="31" t="inlineStr">
        <is>
          <t>TR-179</t>
        </is>
      </c>
      <c r="C178" s="31" t="inlineStr">
        <is>
          <t>kikito</t>
        </is>
      </c>
      <c r="D178" s="31" t="inlineStr">
        <is>
          <t>Saphir-Truhe</t>
        </is>
      </c>
      <c r="E178" s="31" t="inlineStr">
        <is>
          <t>Schatzkammer der Ahnen Level 35-39</t>
        </is>
      </c>
      <c r="F178" s="31" t="n">
        <v>50</v>
      </c>
    </row>
    <row r="179" ht="15" customHeight="1" s="18">
      <c r="A179" s="31" t="inlineStr">
        <is>
          <t>2026-10-23 02:00</t>
        </is>
      </c>
      <c r="B179" s="31" t="inlineStr">
        <is>
          <t>TR-180</t>
        </is>
      </c>
      <c r="C179" s="31" t="inlineStr">
        <is>
          <t>LevatusLabienus</t>
        </is>
      </c>
      <c r="D179" s="31" t="inlineStr">
        <is>
          <t>Truhe der Festung der Elfen</t>
        </is>
      </c>
      <c r="E179" s="31" t="inlineStr">
        <is>
          <t>Festung Level 30</t>
        </is>
      </c>
      <c r="F179" s="31" t="n">
        <v>25</v>
      </c>
    </row>
    <row r="180" ht="15" customHeight="1" s="18">
      <c r="A180" s="31" t="inlineStr">
        <is>
          <t>2026-10-23 02:01</t>
        </is>
      </c>
      <c r="B180" s="31" t="inlineStr">
        <is>
          <t>TR-181</t>
        </is>
      </c>
      <c r="C180" s="31" t="inlineStr">
        <is>
          <t>LegatusLabienus</t>
        </is>
      </c>
      <c r="D180" s="31" t="inlineStr">
        <is>
          <t>Truhe der Festung der Elfen</t>
        </is>
      </c>
      <c r="E180" s="31" t="inlineStr">
        <is>
          <t>Festung Level 30</t>
        </is>
      </c>
      <c r="F180" s="31" t="n">
        <v>25</v>
      </c>
    </row>
    <row r="181" ht="15" customHeight="1" s="18">
      <c r="A181" s="31" t="inlineStr">
        <is>
          <t>2026-10-23 02:01</t>
        </is>
      </c>
      <c r="B181" s="31" t="inlineStr">
        <is>
          <t>TR-182</t>
        </is>
      </c>
      <c r="C181" s="31" t="inlineStr">
        <is>
          <t>eroi</t>
        </is>
      </c>
      <c r="D181" s="31" t="inlineStr">
        <is>
          <t>Truhe der Festung der Verfluchten</t>
        </is>
      </c>
      <c r="E181" s="31" t="inlineStr">
        <is>
          <t>Festung Level 25</t>
        </is>
      </c>
      <c r="F181" s="31" t="n">
        <v>25</v>
      </c>
    </row>
    <row r="182" ht="15" customHeight="1" s="18">
      <c r="A182" s="31" t="inlineStr">
        <is>
          <t>2026-10-23 02:01</t>
        </is>
      </c>
      <c r="B182" s="31" t="inlineStr">
        <is>
          <t>TR-183</t>
        </is>
      </c>
      <c r="C182" s="31" t="inlineStr">
        <is>
          <t>Burigas</t>
        </is>
      </c>
      <c r="D182" s="31" t="inlineStr">
        <is>
          <t>Truhe der Festung der Elfen</t>
        </is>
      </c>
      <c r="E182" s="31" t="inlineStr">
        <is>
          <t>Festung Level 20</t>
        </is>
      </c>
      <c r="F182" s="31" t="n">
        <v>25</v>
      </c>
    </row>
    <row r="183" ht="15" customHeight="1" s="18">
      <c r="A183" s="31" t="inlineStr">
        <is>
          <t>2026-10-23 02:01</t>
        </is>
      </c>
      <c r="B183" s="31" t="inlineStr">
        <is>
          <t>TR-184</t>
        </is>
      </c>
      <c r="C183" s="31" t="inlineStr">
        <is>
          <t>bjar</t>
        </is>
      </c>
      <c r="D183" s="31" t="inlineStr">
        <is>
          <t>Sandtruhe</t>
        </is>
      </c>
      <c r="E183" s="31" t="inlineStr">
        <is>
          <t>Gruft Level 25</t>
        </is>
      </c>
      <c r="F183" s="31" t="n">
        <v>25</v>
      </c>
    </row>
    <row r="184" ht="15" customHeight="1" s="18">
      <c r="A184" s="31" t="inlineStr">
        <is>
          <t>2026-10-23 02:01</t>
        </is>
      </c>
      <c r="B184" s="31" t="inlineStr">
        <is>
          <t>TR-185</t>
        </is>
      </c>
      <c r="C184" s="31" t="inlineStr">
        <is>
          <t>bjar</t>
        </is>
      </c>
      <c r="D184" s="31" t="inlineStr">
        <is>
          <t>Knochentruhe</t>
        </is>
      </c>
      <c r="E184" s="31" t="inlineStr">
        <is>
          <t>Gruft Level 25</t>
        </is>
      </c>
      <c r="F184" s="31" t="n">
        <v>25</v>
      </c>
    </row>
    <row r="185" ht="15" customHeight="1" s="18">
      <c r="A185" s="31" t="inlineStr">
        <is>
          <t>2026-10-23 02:02</t>
        </is>
      </c>
      <c r="B185" s="31" t="inlineStr">
        <is>
          <t>TR-186</t>
        </is>
      </c>
      <c r="C185" s="31" t="inlineStr">
        <is>
          <t>Tanmisis</t>
        </is>
      </c>
      <c r="D185" s="31" t="inlineStr">
        <is>
          <t>Feuertruhe</t>
        </is>
      </c>
      <c r="E185" s="31" t="inlineStr">
        <is>
          <t>Gruft Level 25</t>
        </is>
      </c>
      <c r="F185" s="31" t="n">
        <v>25</v>
      </c>
    </row>
    <row r="186" ht="15" customHeight="1" s="18">
      <c r="A186" s="31" t="inlineStr">
        <is>
          <t>2026-10-23 02:02</t>
        </is>
      </c>
      <c r="B186" s="31" t="inlineStr">
        <is>
          <t>TR-187</t>
        </is>
      </c>
      <c r="C186" s="31" t="inlineStr">
        <is>
          <t>Tanmisis</t>
        </is>
      </c>
      <c r="D186" s="31" t="inlineStr">
        <is>
          <t>Barbarentruhe</t>
        </is>
      </c>
      <c r="E186" s="31" t="inlineStr">
        <is>
          <t>Gruft Level 25</t>
        </is>
      </c>
      <c r="F186" s="31" t="n">
        <v>25</v>
      </c>
    </row>
    <row r="187" ht="15" customHeight="1" s="18">
      <c r="A187" s="31" t="inlineStr">
        <is>
          <t>2026-10-23 02:02</t>
        </is>
      </c>
      <c r="B187" s="31" t="inlineStr">
        <is>
          <t>TR-188</t>
        </is>
      </c>
      <c r="C187" s="31" t="inlineStr">
        <is>
          <t>Tanmisis</t>
        </is>
      </c>
      <c r="D187" s="31" t="inlineStr">
        <is>
          <t>Sandtruhe</t>
        </is>
      </c>
      <c r="E187" s="31" t="inlineStr">
        <is>
          <t>Gruft Level 25</t>
        </is>
      </c>
      <c r="F187" s="31" t="n">
        <v>25</v>
      </c>
    </row>
    <row r="188" ht="15" customHeight="1" s="18">
      <c r="A188" s="31" t="inlineStr">
        <is>
          <t>2026-10-23 02:02</t>
        </is>
      </c>
      <c r="B188" s="31" t="inlineStr">
        <is>
          <t>TR-189</t>
        </is>
      </c>
      <c r="C188" s="31" t="inlineStr">
        <is>
          <t>LedZep2</t>
        </is>
      </c>
      <c r="D188" s="31" t="inlineStr">
        <is>
          <t>Schöne Truhe</t>
        </is>
      </c>
      <c r="E188" s="31" t="inlineStr">
        <is>
          <t>Gruft Level 25</t>
        </is>
      </c>
      <c r="F188" s="31" t="n">
        <v>25</v>
      </c>
    </row>
    <row r="189" ht="15" customHeight="1" s="18">
      <c r="A189" s="31" t="inlineStr">
        <is>
          <t>2026-10-23 02:02</t>
        </is>
      </c>
      <c r="B189" s="31" t="inlineStr">
        <is>
          <t>TR-190</t>
        </is>
      </c>
      <c r="C189" s="31" t="inlineStr">
        <is>
          <t>Lanfir</t>
        </is>
      </c>
      <c r="D189" s="31" t="inlineStr">
        <is>
          <t>Knochentruhe</t>
        </is>
      </c>
      <c r="E189" s="31" t="inlineStr">
        <is>
          <t>Gruft Level 5</t>
        </is>
      </c>
      <c r="F189" s="31" t="n">
        <v>25</v>
      </c>
    </row>
    <row r="190" ht="15" customHeight="1" s="18">
      <c r="A190" s="31" t="inlineStr">
        <is>
          <t>2026-10-23 02:02</t>
        </is>
      </c>
      <c r="B190" s="31" t="inlineStr">
        <is>
          <t>TR-191</t>
        </is>
      </c>
      <c r="C190" s="31" t="inlineStr">
        <is>
          <t>Lanfir</t>
        </is>
      </c>
      <c r="D190" s="31" t="inlineStr">
        <is>
          <t>Truhe der Maya</t>
        </is>
      </c>
      <c r="E190" s="31" t="inlineStr">
        <is>
          <t>Maya-Event</t>
        </is>
      </c>
      <c r="F190" s="31" t="n">
        <v>50</v>
      </c>
    </row>
    <row r="191" ht="15" customHeight="1" s="18">
      <c r="A191" s="31" t="inlineStr">
        <is>
          <t>2026-10-23 02:03</t>
        </is>
      </c>
      <c r="B191" s="31" t="inlineStr">
        <is>
          <t>TR-192</t>
        </is>
      </c>
      <c r="C191" s="31" t="inlineStr">
        <is>
          <t>kikito</t>
        </is>
      </c>
      <c r="D191" s="31" t="inlineStr">
        <is>
          <t>Truhe der Festung der Elfen</t>
        </is>
      </c>
      <c r="E191" s="31" t="inlineStr">
        <is>
          <t>Festung Level 25</t>
        </is>
      </c>
      <c r="F191" s="31" t="n">
        <v>25</v>
      </c>
    </row>
    <row r="192" ht="15" customHeight="1" s="18">
      <c r="A192" s="31" t="inlineStr">
        <is>
          <t>2026-10-23 02:03</t>
        </is>
      </c>
      <c r="B192" s="31" t="inlineStr">
        <is>
          <t>TR-193</t>
        </is>
      </c>
      <c r="C192" s="31" t="inlineStr">
        <is>
          <t>Gran Rex</t>
        </is>
      </c>
      <c r="D192" s="31" t="inlineStr">
        <is>
          <t>Knochentruhe</t>
        </is>
      </c>
      <c r="E192" s="31" t="inlineStr">
        <is>
          <t>Gruft Level 25</t>
        </is>
      </c>
      <c r="F192" s="31" t="n">
        <v>25</v>
      </c>
    </row>
    <row r="193" ht="15" customHeight="1" s="18">
      <c r="A193" s="31" t="inlineStr">
        <is>
          <t>2026-10-23 02:03</t>
        </is>
      </c>
      <c r="B193" s="31" t="inlineStr">
        <is>
          <t>TR-194</t>
        </is>
      </c>
      <c r="C193" s="31" t="inlineStr">
        <is>
          <t>Burigas</t>
        </is>
      </c>
      <c r="D193" s="31" t="inlineStr">
        <is>
          <t>Schöne Truhe</t>
        </is>
      </c>
      <c r="E193" s="31" t="inlineStr">
        <is>
          <t>Gruft Level 25</t>
        </is>
      </c>
      <c r="F193" s="31" t="n">
        <v>25</v>
      </c>
    </row>
    <row r="194" ht="15" customHeight="1" s="18">
      <c r="A194" s="31" t="inlineStr">
        <is>
          <t>2026-10-23 02:03</t>
        </is>
      </c>
      <c r="B194" s="31" t="inlineStr">
        <is>
          <t>TR-195</t>
        </is>
      </c>
      <c r="C194" s="31" t="inlineStr">
        <is>
          <t>Burigas</t>
        </is>
      </c>
      <c r="D194" s="31" t="inlineStr">
        <is>
          <t>Truhe der Maya</t>
        </is>
      </c>
      <c r="E194" s="31" t="inlineStr">
        <is>
          <t>Gruft Level 25</t>
        </is>
      </c>
      <c r="F194" s="31" t="n">
        <v>25</v>
      </c>
    </row>
    <row r="195" ht="15" customHeight="1" s="18">
      <c r="A195" s="31" t="inlineStr">
        <is>
          <t>2026-10-23 02:03</t>
        </is>
      </c>
      <c r="B195" s="31" t="inlineStr">
        <is>
          <t>TR-196</t>
        </is>
      </c>
      <c r="C195" s="31" t="inlineStr">
        <is>
          <t>Gigi</t>
        </is>
      </c>
      <c r="D195" s="31" t="inlineStr">
        <is>
          <t>Steintruhe</t>
        </is>
      </c>
      <c r="E195" s="31" t="inlineStr">
        <is>
          <t>Gruft Level 20</t>
        </is>
      </c>
      <c r="F195" s="31" t="n">
        <v>20</v>
      </c>
    </row>
    <row r="196" ht="15" customHeight="1" s="18">
      <c r="A196" s="31" t="inlineStr">
        <is>
          <t>2026-10-23 02:03</t>
        </is>
      </c>
      <c r="B196" s="31" t="inlineStr">
        <is>
          <t>TR-197</t>
        </is>
      </c>
      <c r="C196" s="31" t="inlineStr">
        <is>
          <t>Burigas</t>
        </is>
      </c>
      <c r="D196" s="31" t="inlineStr">
        <is>
          <t>Truhe der Zwergen-Werkstatt</t>
        </is>
      </c>
      <c r="E196" s="31" t="inlineStr">
        <is>
          <t>Gruft Level 25</t>
        </is>
      </c>
      <c r="F196" s="31" t="n">
        <v>25</v>
      </c>
    </row>
    <row r="197" ht="15" customHeight="1" s="18">
      <c r="A197" s="31" t="inlineStr">
        <is>
          <t>2026-10-23 02:03</t>
        </is>
      </c>
      <c r="B197" s="31" t="inlineStr">
        <is>
          <t>TR-198</t>
        </is>
      </c>
      <c r="C197" s="31" t="inlineStr">
        <is>
          <t>eroi</t>
        </is>
      </c>
      <c r="D197" s="31" t="inlineStr">
        <is>
          <t>Truhe der Festung der Elfen</t>
        </is>
      </c>
      <c r="E197" s="31" t="inlineStr">
        <is>
          <t>Festung Level 15</t>
        </is>
      </c>
      <c r="F197" s="31" t="n">
        <v>20</v>
      </c>
    </row>
    <row r="198" ht="15" customHeight="1" s="18">
      <c r="A198" s="31" t="inlineStr">
        <is>
          <t>2026-10-23 02:03</t>
        </is>
      </c>
      <c r="B198" s="31" t="inlineStr">
        <is>
          <t>TR-199</t>
        </is>
      </c>
      <c r="C198" s="31" t="inlineStr">
        <is>
          <t>Frederico Freitas</t>
        </is>
      </c>
      <c r="D198" s="31" t="inlineStr">
        <is>
          <t>Steintruhe</t>
        </is>
      </c>
      <c r="E198" s="31" t="inlineStr">
        <is>
          <t>Gruft Level 25</t>
        </is>
      </c>
      <c r="F198" s="31" t="n">
        <v>25</v>
      </c>
    </row>
    <row r="199" ht="15" customHeight="1" s="18">
      <c r="A199" s="31" t="inlineStr">
        <is>
          <t>2026-10-23 02:03</t>
        </is>
      </c>
      <c r="B199" s="31" t="inlineStr">
        <is>
          <t>TR-200</t>
        </is>
      </c>
      <c r="C199" s="31" t="inlineStr">
        <is>
          <t>Frederico Freitas</t>
        </is>
      </c>
      <c r="D199" s="31" t="inlineStr">
        <is>
          <t>Truhe der Orks</t>
        </is>
      </c>
      <c r="E199" s="31" t="inlineStr">
        <is>
          <t>Gruft Level 25</t>
        </is>
      </c>
      <c r="F199" s="31" t="n">
        <v>25</v>
      </c>
    </row>
    <row r="200" ht="15" customHeight="1" s="18">
      <c r="A200" s="31" t="inlineStr">
        <is>
          <t>2026-10-23 02:03</t>
        </is>
      </c>
      <c r="B200" s="31" t="inlineStr">
        <is>
          <t>TR-201</t>
        </is>
      </c>
      <c r="C200" s="31" t="inlineStr">
        <is>
          <t>Burigas</t>
        </is>
      </c>
      <c r="D200" s="31" t="inlineStr">
        <is>
          <t>Barbarentruhe</t>
        </is>
      </c>
      <c r="E200" s="31" t="inlineStr">
        <is>
          <t>Gruft Level 25</t>
        </is>
      </c>
      <c r="F200" s="31" t="n">
        <v>25</v>
      </c>
    </row>
    <row r="201" ht="15" customHeight="1" s="18">
      <c r="A201" s="31" t="inlineStr">
        <is>
          <t>2026-10-23 02:03</t>
        </is>
      </c>
      <c r="B201" s="31" t="inlineStr">
        <is>
          <t>TR-202</t>
        </is>
      </c>
      <c r="C201" s="31" t="inlineStr">
        <is>
          <t>Frederico Freitas</t>
        </is>
      </c>
      <c r="D201" s="31" t="inlineStr">
        <is>
          <t>Barbarentruhe</t>
        </is>
      </c>
      <c r="E201" s="31" t="inlineStr">
        <is>
          <t>Gruft Level 25</t>
        </is>
      </c>
      <c r="F201" s="31" t="n">
        <v>25</v>
      </c>
    </row>
    <row r="202" ht="15" customHeight="1" s="18">
      <c r="A202" s="31" t="inlineStr">
        <is>
          <t>2026-10-23 02:04</t>
        </is>
      </c>
      <c r="B202" s="31" t="inlineStr">
        <is>
          <t>TR-203</t>
        </is>
      </c>
      <c r="C202" s="31" t="inlineStr">
        <is>
          <t>Gigi</t>
        </is>
      </c>
      <c r="D202" s="31" t="inlineStr">
        <is>
          <t>Trillium-Truhe</t>
        </is>
      </c>
      <c r="E202" s="31" t="inlineStr">
        <is>
          <t>Epische Gruft Level 20</t>
        </is>
      </c>
      <c r="F202" s="31" t="n">
        <v>50</v>
      </c>
    </row>
    <row r="203" ht="15" customHeight="1" s="18">
      <c r="A203" s="31" t="inlineStr">
        <is>
          <t>2026-10-23 02:04</t>
        </is>
      </c>
      <c r="B203" s="31" t="inlineStr">
        <is>
          <t>TR-204</t>
        </is>
      </c>
      <c r="C203" s="31" t="inlineStr">
        <is>
          <t>Burigas</t>
        </is>
      </c>
      <c r="D203" s="31" t="inlineStr">
        <is>
          <t>Vergessene Truhe</t>
        </is>
      </c>
      <c r="E203" s="31" t="inlineStr">
        <is>
          <t>Gruft Level 25</t>
        </is>
      </c>
      <c r="F203" s="31" t="n">
        <v>25</v>
      </c>
    </row>
    <row r="204" ht="15" customHeight="1" s="18">
      <c r="A204" s="31" t="inlineStr">
        <is>
          <t>2026-10-23 02:04</t>
        </is>
      </c>
      <c r="B204" s="31" t="inlineStr">
        <is>
          <t>TR-205</t>
        </is>
      </c>
      <c r="C204" s="31" t="inlineStr">
        <is>
          <t>Sir Charles</t>
        </is>
      </c>
      <c r="D204" s="31" t="inlineStr">
        <is>
          <t>Seltene Drachentruhe</t>
        </is>
      </c>
      <c r="E204" s="31" t="inlineStr">
        <is>
          <t>Seltene Gruft Level 30</t>
        </is>
      </c>
      <c r="F204" s="31" t="n">
        <v>50</v>
      </c>
    </row>
    <row r="205" ht="15" customHeight="1" s="18">
      <c r="A205" s="31" t="inlineStr">
        <is>
          <t>2026-10-23 02:04</t>
        </is>
      </c>
      <c r="B205" s="31" t="inlineStr">
        <is>
          <t>TR-206</t>
        </is>
      </c>
      <c r="C205" s="31" t="inlineStr">
        <is>
          <t>LegatusLabienus</t>
        </is>
      </c>
      <c r="D205" s="31" t="inlineStr">
        <is>
          <t>Saphir-Truhe</t>
        </is>
      </c>
      <c r="E205" s="31" t="inlineStr">
        <is>
          <t>Schatzkammer der Ahnen Level 25-29</t>
        </is>
      </c>
      <c r="F205" s="31" t="n">
        <v>50</v>
      </c>
    </row>
    <row r="206" ht="15" customHeight="1" s="18">
      <c r="A206" s="31" t="inlineStr">
        <is>
          <t>2026-10-23 02:04</t>
        </is>
      </c>
      <c r="B206" s="31" t="inlineStr">
        <is>
          <t>TR-207</t>
        </is>
      </c>
      <c r="C206" s="31" t="inlineStr">
        <is>
          <t>Burigas</t>
        </is>
      </c>
      <c r="D206" s="31" t="inlineStr">
        <is>
          <t>Sandtruhe</t>
        </is>
      </c>
      <c r="E206" s="31" t="inlineStr">
        <is>
          <t>Gruft Level 25</t>
        </is>
      </c>
      <c r="F206" s="31" t="n">
        <v>25</v>
      </c>
    </row>
    <row r="207" ht="15" customHeight="1" s="18">
      <c r="A207" s="31" t="inlineStr">
        <is>
          <t>2026-10-23 02:04</t>
        </is>
      </c>
      <c r="B207" s="31" t="inlineStr">
        <is>
          <t>TR-208</t>
        </is>
      </c>
      <c r="C207" s="31" t="inlineStr">
        <is>
          <t>Gran Rex</t>
        </is>
      </c>
      <c r="D207" s="31" t="inlineStr">
        <is>
          <t>Barbarentruhe</t>
        </is>
      </c>
      <c r="E207" s="31" t="inlineStr">
        <is>
          <t>Gruft Level 20</t>
        </is>
      </c>
      <c r="F207" s="31" t="n">
        <v>20</v>
      </c>
    </row>
    <row r="208" ht="15" customHeight="1" s="18">
      <c r="A208" s="31" t="inlineStr">
        <is>
          <t>2026-10-23 02:04</t>
        </is>
      </c>
      <c r="B208" s="31" t="inlineStr">
        <is>
          <t>TR-209</t>
        </is>
      </c>
      <c r="C208" s="31" t="inlineStr">
        <is>
          <t>Gran Rex</t>
        </is>
      </c>
      <c r="D208" s="31" t="inlineStr">
        <is>
          <t>Vergessene Truhe</t>
        </is>
      </c>
      <c r="E208" s="31" t="inlineStr">
        <is>
          <t>Gruft Level 20</t>
        </is>
      </c>
      <c r="F208" s="31" t="n">
        <v>20</v>
      </c>
    </row>
    <row r="209" ht="15" customHeight="1" s="18">
      <c r="A209" s="31" t="inlineStr">
        <is>
          <t>2026-10-23 02:04</t>
        </is>
      </c>
      <c r="B209" s="31" t="inlineStr">
        <is>
          <t>TR-210</t>
        </is>
      </c>
      <c r="C209" s="31" t="inlineStr">
        <is>
          <t>Burigas</t>
        </is>
      </c>
      <c r="D209" s="31" t="inlineStr">
        <is>
          <t>Steintruhe</t>
        </is>
      </c>
      <c r="E209" s="31" t="inlineStr">
        <is>
          <t>Gruft Level 25</t>
        </is>
      </c>
      <c r="F209" s="31" t="n">
        <v>25</v>
      </c>
    </row>
    <row r="210" ht="15" customHeight="1" s="18">
      <c r="A210" s="31" t="inlineStr">
        <is>
          <t>2026-10-23 02:04</t>
        </is>
      </c>
      <c r="B210" s="31" t="inlineStr">
        <is>
          <t>TR-211</t>
        </is>
      </c>
      <c r="C210" s="31" t="inlineStr">
        <is>
          <t>Gigi</t>
        </is>
      </c>
      <c r="D210" s="31" t="inlineStr">
        <is>
          <t>Trillium-Truhe</t>
        </is>
      </c>
      <c r="E210" s="31" t="inlineStr">
        <is>
          <t>Epische Gruft Level 20</t>
        </is>
      </c>
      <c r="F210" s="31" t="n">
        <v>50</v>
      </c>
    </row>
    <row r="211" ht="15" customHeight="1" s="18">
      <c r="A211" s="31" t="inlineStr">
        <is>
          <t>2026-10-23 02:05</t>
        </is>
      </c>
      <c r="B211" s="31" t="inlineStr">
        <is>
          <t>TR-212</t>
        </is>
      </c>
      <c r="C211" s="31" t="inlineStr">
        <is>
          <t>Burigas</t>
        </is>
      </c>
      <c r="D211" s="31" t="inlineStr">
        <is>
          <t>Truhe der Orks</t>
        </is>
      </c>
      <c r="E211" s="31" t="inlineStr">
        <is>
          <t>Gruft Level 25</t>
        </is>
      </c>
      <c r="F211" s="31" t="n">
        <v>25</v>
      </c>
    </row>
    <row r="212" ht="15" customHeight="1" s="18">
      <c r="A212" s="31" t="inlineStr">
        <is>
          <t>2026-10-23 02:05</t>
        </is>
      </c>
      <c r="B212" s="31" t="inlineStr">
        <is>
          <t>TR-213</t>
        </is>
      </c>
      <c r="C212" s="31" t="inlineStr">
        <is>
          <t>LegatusLabienus</t>
        </is>
      </c>
      <c r="D212" s="31" t="inlineStr">
        <is>
          <t>Saphir-Truhe</t>
        </is>
      </c>
      <c r="E212" s="31" t="inlineStr">
        <is>
          <t>Schatzkammer der Ahnen Level 35-39</t>
        </is>
      </c>
      <c r="F212" s="31" t="n">
        <v>50</v>
      </c>
    </row>
    <row r="213" ht="15" customHeight="1" s="18">
      <c r="A213" s="31" t="inlineStr">
        <is>
          <t>2026-10-23 02:05</t>
        </is>
      </c>
      <c r="B213" s="31" t="inlineStr">
        <is>
          <t>TR-214</t>
        </is>
      </c>
      <c r="C213" s="31" t="inlineStr">
        <is>
          <t>Burigas</t>
        </is>
      </c>
      <c r="D213" s="31" t="inlineStr">
        <is>
          <t>Truhe des Hauses des Schreckens</t>
        </is>
      </c>
      <c r="E213" s="31" t="inlineStr">
        <is>
          <t>Haus des Schreckens Event</t>
        </is>
      </c>
      <c r="F213" s="31" t="n">
        <v>50</v>
      </c>
    </row>
    <row r="214" ht="15" customHeight="1" s="18">
      <c r="A214" s="31" t="inlineStr">
        <is>
          <t>2026-10-23 02:05</t>
        </is>
      </c>
      <c r="B214" s="31" t="inlineStr">
        <is>
          <t>TR-215</t>
        </is>
      </c>
      <c r="C214" s="31" t="inlineStr">
        <is>
          <t>Sir Charles</t>
        </is>
      </c>
      <c r="D214" s="31" t="inlineStr">
        <is>
          <t>Truhe des Hauses des Schreckens</t>
        </is>
      </c>
      <c r="E214" s="31" t="inlineStr">
        <is>
          <t>Epische Gruft Level 35</t>
        </is>
      </c>
      <c r="F214" s="31" t="n">
        <v>50</v>
      </c>
    </row>
    <row r="215" ht="15" customHeight="1" s="18">
      <c r="A215" s="31" t="inlineStr">
        <is>
          <t>2026-10-23 02:05</t>
        </is>
      </c>
      <c r="B215" s="31" t="inlineStr">
        <is>
          <t>TR-216</t>
        </is>
      </c>
      <c r="C215" s="31" t="inlineStr">
        <is>
          <t>bjarr</t>
        </is>
      </c>
      <c r="D215" s="31" t="inlineStr">
        <is>
          <t>Knochentruhe</t>
        </is>
      </c>
      <c r="E215" s="31" t="inlineStr">
        <is>
          <t>Gruft Level 25</t>
        </is>
      </c>
      <c r="F215" s="31" t="n">
        <v>25</v>
      </c>
    </row>
    <row r="216" ht="15" customHeight="1" s="18">
      <c r="A216" s="31" t="inlineStr">
        <is>
          <t>2026-10-23 02:05</t>
        </is>
      </c>
      <c r="B216" s="31" t="inlineStr">
        <is>
          <t>TR-217</t>
        </is>
      </c>
      <c r="C216" s="31" t="inlineStr">
        <is>
          <t>bjarr</t>
        </is>
      </c>
      <c r="D216" s="31" t="inlineStr">
        <is>
          <t>Truhe der Orks</t>
        </is>
      </c>
      <c r="E216" s="31" t="inlineStr">
        <is>
          <t>Gruft Level 25</t>
        </is>
      </c>
      <c r="F216" s="31" t="n">
        <v>25</v>
      </c>
    </row>
    <row r="217" ht="15" customHeight="1" s="18">
      <c r="A217" s="31" t="inlineStr">
        <is>
          <t>2026-10-23 02:05</t>
        </is>
      </c>
      <c r="B217" s="31" t="inlineStr">
        <is>
          <t>TR-218</t>
        </is>
      </c>
      <c r="C217" s="31" t="inlineStr">
        <is>
          <t>PABLUS</t>
        </is>
      </c>
      <c r="D217" s="31" t="inlineStr">
        <is>
          <t>Truhe der Maya</t>
        </is>
      </c>
      <c r="E217" s="31" t="inlineStr">
        <is>
          <t>Gruft Level 15</t>
        </is>
      </c>
      <c r="F217" s="31" t="n">
        <v>20</v>
      </c>
    </row>
    <row r="218" ht="15" customHeight="1" s="18">
      <c r="A218" s="31" t="inlineStr">
        <is>
          <t>2026-10-23 02:06</t>
        </is>
      </c>
      <c r="B218" s="31" t="inlineStr">
        <is>
          <t>TR-219</t>
        </is>
      </c>
      <c r="C218" s="31" t="inlineStr">
        <is>
          <t>eroi</t>
        </is>
      </c>
      <c r="D218" s="31" t="inlineStr">
        <is>
          <t>Truhe der Festung der Elfen</t>
        </is>
      </c>
      <c r="E218" s="31" t="inlineStr">
        <is>
          <t>Festung Level 10</t>
        </is>
      </c>
      <c r="F218" s="31" t="n">
        <v>20</v>
      </c>
    </row>
    <row r="219" ht="15" customHeight="1" s="18">
      <c r="A219" s="31" t="inlineStr">
        <is>
          <t>2026-10-23 02:07</t>
        </is>
      </c>
      <c r="B219" s="31" t="inlineStr">
        <is>
          <t>TR-220</t>
        </is>
      </c>
      <c r="C219" s="31" t="inlineStr">
        <is>
          <t>LegatusLabienus</t>
        </is>
      </c>
      <c r="D219" s="31" t="inlineStr">
        <is>
          <t>Saphir-Truhe</t>
        </is>
      </c>
      <c r="E219" s="31" t="inlineStr">
        <is>
          <t>Schatzkammer der Ahnen Level 30-34</t>
        </is>
      </c>
      <c r="F219" s="31" t="n">
        <v>50</v>
      </c>
    </row>
    <row r="220" ht="15" customHeight="1" s="18">
      <c r="A220" s="31" t="inlineStr">
        <is>
          <t>2026-10-23 02:07</t>
        </is>
      </c>
      <c r="B220" s="31" t="inlineStr">
        <is>
          <t>TR-221</t>
        </is>
      </c>
      <c r="C220" s="31" t="inlineStr">
        <is>
          <t>eroi</t>
        </is>
      </c>
      <c r="D220" s="31" t="inlineStr">
        <is>
          <t>Truhe der Festung der Verfluchten</t>
        </is>
      </c>
      <c r="E220" s="31" t="inlineStr">
        <is>
          <t>Festung Level 20</t>
        </is>
      </c>
      <c r="F220" s="31" t="n">
        <v>20</v>
      </c>
    </row>
    <row r="221" ht="15" customHeight="1" s="18">
      <c r="A221" s="31" t="inlineStr">
        <is>
          <t>2026-10-23 02:07</t>
        </is>
      </c>
      <c r="B221" s="31" t="inlineStr">
        <is>
          <t>TR-222</t>
        </is>
      </c>
      <c r="C221" s="31" t="inlineStr">
        <is>
          <t>TECH</t>
        </is>
      </c>
      <c r="D221" s="31" t="inlineStr">
        <is>
          <t>Truhe der Zwergen-Werkstatt</t>
        </is>
      </c>
      <c r="E221" s="31" t="inlineStr">
        <is>
          <t>Gruft Level 25</t>
        </is>
      </c>
      <c r="F221" s="31" t="n">
        <v>25</v>
      </c>
    </row>
    <row r="222" ht="15" customHeight="1" s="18">
      <c r="A222" s="31" t="inlineStr">
        <is>
          <t>2026-10-23 02:07</t>
        </is>
      </c>
      <c r="B222" s="31" t="inlineStr">
        <is>
          <t>TR-223</t>
        </is>
      </c>
      <c r="C222" s="31" t="inlineStr">
        <is>
          <t>ICHNOS</t>
        </is>
      </c>
      <c r="D222" s="31" t="inlineStr">
        <is>
          <t>Truhe der Kobra</t>
        </is>
      </c>
      <c r="E222" s="31" t="inlineStr">
        <is>
          <t>Gruft Level 25</t>
        </is>
      </c>
      <c r="F222" s="31" t="n">
        <v>25</v>
      </c>
    </row>
    <row r="223" ht="15" customHeight="1" s="18">
      <c r="A223" s="31" t="inlineStr">
        <is>
          <t>2026-10-23 02:08</t>
        </is>
      </c>
      <c r="B223" s="31" t="inlineStr">
        <is>
          <t>TR-224</t>
        </is>
      </c>
      <c r="C223" s="31" t="inlineStr">
        <is>
          <t>LegatusLabienus</t>
        </is>
      </c>
      <c r="D223" s="31" t="inlineStr">
        <is>
          <t>Gewöhnliche Truhe des</t>
        </is>
      </c>
      <c r="E223" s="31" t="inlineStr">
        <is>
          <t>Clan-Wohlstand</t>
        </is>
      </c>
      <c r="F223" s="31" t="n">
        <v>0</v>
      </c>
    </row>
    <row r="224" ht="15" customHeight="1" s="18">
      <c r="A224" s="31" t="inlineStr">
        <is>
          <t>2026-10-23 02:08</t>
        </is>
      </c>
      <c r="B224" s="31" t="inlineStr">
        <is>
          <t>TR-225</t>
        </is>
      </c>
      <c r="C224" s="31" t="inlineStr">
        <is>
          <t>LegatusLabienus</t>
        </is>
      </c>
      <c r="D224" s="31" t="inlineStr">
        <is>
          <t>Ungewöhnliche Truhe des</t>
        </is>
      </c>
      <c r="E224" s="31" t="inlineStr">
        <is>
          <t>Clan-Wohlstand</t>
        </is>
      </c>
      <c r="F224" s="31" t="n">
        <v>0</v>
      </c>
    </row>
    <row r="225" ht="15" customHeight="1" s="18">
      <c r="A225" s="31" t="inlineStr">
        <is>
          <t>2026-10-23 02:08</t>
        </is>
      </c>
      <c r="B225" s="31" t="inlineStr">
        <is>
          <t>TR-226</t>
        </is>
      </c>
      <c r="C225" s="31" t="inlineStr">
        <is>
          <t>LegatusLabienus</t>
        </is>
      </c>
      <c r="D225" s="31" t="inlineStr">
        <is>
          <t>Seltene Truhe des Wohlstands</t>
        </is>
      </c>
      <c r="E225" s="31" t="inlineStr">
        <is>
          <t>Clan-Wohlstand</t>
        </is>
      </c>
      <c r="F225" s="31" t="n">
        <v>0</v>
      </c>
    </row>
    <row r="226" ht="15" customHeight="1" s="18">
      <c r="A226" s="31" t="inlineStr">
        <is>
          <t>2026-10-23 02:08</t>
        </is>
      </c>
      <c r="B226" s="31" t="inlineStr">
        <is>
          <t>TR-227</t>
        </is>
      </c>
      <c r="C226" s="31" t="inlineStr">
        <is>
          <t>TECH</t>
        </is>
      </c>
      <c r="D226" s="31" t="inlineStr">
        <is>
          <t>Sandtruhe</t>
        </is>
      </c>
      <c r="E226" s="31" t="inlineStr">
        <is>
          <t>Gruft Level 25</t>
        </is>
      </c>
      <c r="F226" s="31" t="n">
        <v>25</v>
      </c>
    </row>
    <row r="227" ht="15" customHeight="1" s="18">
      <c r="A227" s="31" t="inlineStr">
        <is>
          <t>2026-10-23 02:08</t>
        </is>
      </c>
      <c r="B227" s="31" t="inlineStr">
        <is>
          <t>TR-228</t>
        </is>
      </c>
      <c r="C227" s="31" t="inlineStr">
        <is>
          <t>ICHNOS</t>
        </is>
      </c>
      <c r="D227" s="31" t="inlineStr">
        <is>
          <t>Kürbistruhe</t>
        </is>
      </c>
      <c r="E227" s="31" t="inlineStr">
        <is>
          <t>Kürbis Event</t>
        </is>
      </c>
      <c r="F227" s="31" t="n">
        <v>50</v>
      </c>
    </row>
    <row r="228" ht="15" customHeight="1" s="18">
      <c r="A228" s="31" t="inlineStr">
        <is>
          <t>2026-10-23 02:08</t>
        </is>
      </c>
      <c r="B228" s="31" t="inlineStr">
        <is>
          <t>TR-229</t>
        </is>
      </c>
      <c r="C228" s="31" t="inlineStr">
        <is>
          <t>Granidred</t>
        </is>
      </c>
      <c r="D228" s="31" t="inlineStr">
        <is>
          <t>Kürbistruhe</t>
        </is>
      </c>
      <c r="E228" s="31" t="inlineStr">
        <is>
          <t>Kürbis Event</t>
        </is>
      </c>
      <c r="F228" s="31" t="n">
        <v>50</v>
      </c>
    </row>
    <row r="229" ht="15" customHeight="1" s="18">
      <c r="A229" s="31" t="inlineStr">
        <is>
          <t>2026-10-23 02:08</t>
        </is>
      </c>
      <c r="B229" s="31" t="inlineStr">
        <is>
          <t>TR-230</t>
        </is>
      </c>
      <c r="C229" s="31" t="inlineStr">
        <is>
          <t>Biin</t>
        </is>
      </c>
      <c r="D229" s="31" t="inlineStr">
        <is>
          <t>Schöne Truhe</t>
        </is>
      </c>
      <c r="E229" s="31" t="inlineStr">
        <is>
          <t>Gruft Level 20</t>
        </is>
      </c>
      <c r="F229" s="31" t="n">
        <v>50</v>
      </c>
    </row>
    <row r="230" ht="15" customHeight="1" s="18">
      <c r="A230" s="31" t="inlineStr">
        <is>
          <t>2026-10-23 02:08</t>
        </is>
      </c>
      <c r="B230" s="31" t="inlineStr">
        <is>
          <t>TR-231</t>
        </is>
      </c>
      <c r="C230" s="31" t="inlineStr">
        <is>
          <t>Biin</t>
        </is>
      </c>
      <c r="D230" s="31" t="inlineStr">
        <is>
          <t>Barbarentruhe</t>
        </is>
      </c>
      <c r="E230" s="31" t="inlineStr">
        <is>
          <t>Gruft Level 20</t>
        </is>
      </c>
      <c r="F230" s="31" t="n">
        <v>20</v>
      </c>
    </row>
    <row r="231" ht="15" customHeight="1" s="18">
      <c r="A231" s="31" t="inlineStr">
        <is>
          <t>2026-10-23 02:09</t>
        </is>
      </c>
      <c r="B231" s="31" t="inlineStr">
        <is>
          <t>TR-232</t>
        </is>
      </c>
      <c r="C231" s="31" t="inlineStr">
        <is>
          <t>eroi</t>
        </is>
      </c>
      <c r="D231" s="31" t="inlineStr">
        <is>
          <t>Kürbistruhe</t>
        </is>
      </c>
      <c r="E231" s="31" t="inlineStr">
        <is>
          <t>Kürbis Event</t>
        </is>
      </c>
      <c r="F231" s="31" t="n">
        <v>50</v>
      </c>
    </row>
    <row r="232" ht="15" customHeight="1" s="18">
      <c r="A232" s="31" t="inlineStr">
        <is>
          <t>2026-10-23 02:09</t>
        </is>
      </c>
      <c r="B232" s="31" t="inlineStr">
        <is>
          <t>TR-233</t>
        </is>
      </c>
      <c r="C232" s="31" t="inlineStr">
        <is>
          <t>LedZep2</t>
        </is>
      </c>
      <c r="D232" s="31" t="inlineStr">
        <is>
          <t>Geflochtene Truhe</t>
        </is>
      </c>
      <c r="E232" s="31" t="inlineStr">
        <is>
          <t>Epische Gruft Level 30</t>
        </is>
      </c>
      <c r="F232" s="31" t="n">
        <v>50</v>
      </c>
    </row>
    <row r="233" ht="15" customHeight="1" s="18">
      <c r="A233" s="31" t="inlineStr">
        <is>
          <t>2026-10-23 02:09</t>
        </is>
      </c>
      <c r="B233" s="31" t="inlineStr">
        <is>
          <t>TR-234</t>
        </is>
      </c>
      <c r="C233" s="31" t="inlineStr">
        <is>
          <t>LedZep2</t>
        </is>
      </c>
      <c r="D233" s="31" t="inlineStr">
        <is>
          <t>Alte Truhe eines Kriegers</t>
        </is>
      </c>
      <c r="E233" s="31" t="inlineStr">
        <is>
          <t>Epische Gruft Level 30</t>
        </is>
      </c>
      <c r="F233" s="31" t="n">
        <v>50</v>
      </c>
    </row>
    <row r="234" ht="15" customHeight="1" s="18">
      <c r="A234" s="31" t="inlineStr">
        <is>
          <t>2026-10-23 02:09</t>
        </is>
      </c>
      <c r="B234" s="31" t="inlineStr">
        <is>
          <t>TR-235</t>
        </is>
      </c>
      <c r="C234" s="31" t="inlineStr">
        <is>
          <t>LedZep2</t>
        </is>
      </c>
      <c r="D234" s="31" t="inlineStr">
        <is>
          <t>Harpyien-Truhe</t>
        </is>
      </c>
      <c r="E234" s="31" t="inlineStr">
        <is>
          <t>Epische Gruft Level 30</t>
        </is>
      </c>
      <c r="F234" s="31" t="n">
        <v>50</v>
      </c>
    </row>
    <row r="235" ht="15" customHeight="1" s="18">
      <c r="A235" s="31" t="inlineStr">
        <is>
          <t>2026-10-23 02:09</t>
        </is>
      </c>
      <c r="B235" s="31" t="inlineStr">
        <is>
          <t>TR-236</t>
        </is>
      </c>
      <c r="C235" s="31" t="inlineStr">
        <is>
          <t>LedZep2</t>
        </is>
      </c>
      <c r="D235" s="31" t="inlineStr">
        <is>
          <t>Schildkröten-Truhe</t>
        </is>
      </c>
      <c r="E235" s="31" t="inlineStr">
        <is>
          <t>Epische Gruft Level 30</t>
        </is>
      </c>
      <c r="F235" s="31" t="n">
        <v>50</v>
      </c>
    </row>
    <row r="236" ht="15" customHeight="1" s="18">
      <c r="A236" s="31" t="inlineStr">
        <is>
          <t>2026-10-23 02:09</t>
        </is>
      </c>
      <c r="B236" s="31" t="inlineStr">
        <is>
          <t>TR-237</t>
        </is>
      </c>
      <c r="C236" s="31" t="inlineStr">
        <is>
          <t>LedZep2</t>
        </is>
      </c>
      <c r="D236" s="31" t="inlineStr">
        <is>
          <t>Kobalt-Truhe</t>
        </is>
      </c>
      <c r="E236" s="31" t="inlineStr">
        <is>
          <t>Epische Gruft Level 30</t>
        </is>
      </c>
      <c r="F236" s="31" t="n">
        <v>50</v>
      </c>
    </row>
    <row r="237" ht="15" customHeight="1" s="18">
      <c r="A237" s="31" t="inlineStr">
        <is>
          <t>2026-10-23 02:09</t>
        </is>
      </c>
      <c r="B237" s="31" t="inlineStr">
        <is>
          <t>TR-238</t>
        </is>
      </c>
      <c r="C237" s="31" t="inlineStr">
        <is>
          <t>LedZep2</t>
        </is>
      </c>
      <c r="D237" s="31" t="inlineStr">
        <is>
          <t>Skarabäus-Truhe</t>
        </is>
      </c>
      <c r="E237" s="31" t="inlineStr">
        <is>
          <t>Epische Gruft Level 30</t>
        </is>
      </c>
      <c r="F237" s="31" t="n">
        <v>50</v>
      </c>
    </row>
    <row r="238" ht="15" customHeight="1" s="18">
      <c r="A238" s="31" t="inlineStr">
        <is>
          <t>2026-10-23 02:10</t>
        </is>
      </c>
      <c r="B238" s="31" t="inlineStr">
        <is>
          <t>TR-239</t>
        </is>
      </c>
      <c r="C238" s="31" t="inlineStr">
        <is>
          <t>TECH</t>
        </is>
      </c>
      <c r="D238" s="31" t="inlineStr">
        <is>
          <t>Feuertruhe</t>
        </is>
      </c>
      <c r="E238" s="31" t="inlineStr">
        <is>
          <t>Gruft Level 25</t>
        </is>
      </c>
      <c r="F238" s="31" t="n">
        <v>25</v>
      </c>
    </row>
    <row r="239" ht="15" customHeight="1" s="18"/>
    <row r="240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9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55" customWidth="1" style="17" min="1" max="1"/>
    <col width="23" customWidth="1" style="17" min="2" max="2"/>
    <col width="28" customWidth="1" style="17" min="3" max="3"/>
  </cols>
  <sheetData>
    <row r="1" ht="15" customHeight="1" s="18">
      <c r="A1" s="19" t="inlineStr">
        <is>
          <t>Clan-Regelwerk - Offizielle Punktewerte &amp; Turmbau</t>
        </is>
      </c>
      <c r="B1" s="34" t="n"/>
      <c r="C1" s="34" t="n"/>
    </row>
    <row r="2">
      <c r="A2" s="34" t="n"/>
      <c r="B2" s="34" t="n"/>
      <c r="C2" s="34" t="n"/>
    </row>
    <row r="3" ht="15" customHeight="1" s="18">
      <c r="A3" s="21" t="inlineStr">
        <is>
          <t>Kategorie / Truhenart</t>
        </is>
      </c>
      <c r="B3" s="21" t="inlineStr">
        <is>
          <t>Level / Typ</t>
        </is>
      </c>
      <c r="C3" s="21" t="inlineStr">
        <is>
          <t>Punkte-Wert</t>
        </is>
      </c>
    </row>
    <row r="4" ht="15" customHeight="1" s="18">
      <c r="A4" s="23" t="inlineStr">
        <is>
          <t>Normale Gruft</t>
        </is>
      </c>
      <c r="B4" s="23" t="inlineStr">
        <is>
          <t>Level 10</t>
        </is>
      </c>
      <c r="C4" s="23" t="inlineStr">
        <is>
          <t>Ausgeschlossen (0 Pkt)</t>
        </is>
      </c>
    </row>
    <row r="5" ht="15" customHeight="1" s="18">
      <c r="A5" s="27" t="inlineStr">
        <is>
          <t>Normale Gruft</t>
        </is>
      </c>
      <c r="B5" s="27" t="inlineStr">
        <is>
          <t>Level 15</t>
        </is>
      </c>
      <c r="C5" s="27" t="inlineStr">
        <is>
          <t>Ausgeschlossen (0 Pkt)</t>
        </is>
      </c>
    </row>
    <row r="6" ht="15" customHeight="1" s="18">
      <c r="A6" s="23" t="inlineStr">
        <is>
          <t>Normale Gruft</t>
        </is>
      </c>
      <c r="B6" s="23" t="inlineStr">
        <is>
          <t>Level 20</t>
        </is>
      </c>
      <c r="C6" s="23" t="inlineStr">
        <is>
          <t>20 Pkt</t>
        </is>
      </c>
    </row>
    <row r="7" ht="15" customHeight="1" s="18">
      <c r="A7" s="27" t="inlineStr">
        <is>
          <t>Normale Gruft</t>
        </is>
      </c>
      <c r="B7" s="27" t="inlineStr">
        <is>
          <t>Level 25</t>
        </is>
      </c>
      <c r="C7" s="27" t="inlineStr">
        <is>
          <t>25 Pkt</t>
        </is>
      </c>
    </row>
    <row r="8" ht="15" customHeight="1" s="18">
      <c r="A8" s="23" t="inlineStr">
        <is>
          <t>Seltene Gruft</t>
        </is>
      </c>
      <c r="B8" s="23" t="inlineStr">
        <is>
          <t>Level 15</t>
        </is>
      </c>
      <c r="C8" s="23" t="inlineStr">
        <is>
          <t>15 Pkt</t>
        </is>
      </c>
    </row>
    <row r="9" ht="15" customHeight="1" s="18">
      <c r="A9" s="27" t="inlineStr">
        <is>
          <t>Seltene Gruft</t>
        </is>
      </c>
      <c r="B9" s="27" t="inlineStr">
        <is>
          <t>Level 20</t>
        </is>
      </c>
      <c r="C9" s="27" t="inlineStr">
        <is>
          <t>20 Pkt</t>
        </is>
      </c>
    </row>
    <row r="10" ht="15" customHeight="1" s="18">
      <c r="A10" s="23" t="inlineStr">
        <is>
          <t>Seltene Gruft</t>
        </is>
      </c>
      <c r="B10" s="23" t="inlineStr">
        <is>
          <t>Level 25</t>
        </is>
      </c>
      <c r="C10" s="23" t="inlineStr">
        <is>
          <t>25 Pkt</t>
        </is>
      </c>
    </row>
    <row r="11" ht="15" customHeight="1" s="18">
      <c r="A11" s="27" t="inlineStr">
        <is>
          <t>Seltene Gruft</t>
        </is>
      </c>
      <c r="B11" s="27" t="inlineStr">
        <is>
          <t>Level 30</t>
        </is>
      </c>
      <c r="C11" s="27" t="inlineStr">
        <is>
          <t>50 Pkt</t>
        </is>
      </c>
    </row>
    <row r="12" ht="15" customHeight="1" s="18">
      <c r="A12" s="23" t="inlineStr">
        <is>
          <t>Epische Gruft</t>
        </is>
      </c>
      <c r="B12" s="23" t="inlineStr">
        <is>
          <t>Level 15</t>
        </is>
      </c>
      <c r="C12" s="23" t="inlineStr">
        <is>
          <t>30 Pkt</t>
        </is>
      </c>
    </row>
    <row r="13" ht="15" customHeight="1" s="18">
      <c r="A13" s="27" t="inlineStr">
        <is>
          <t>Epische Gruft</t>
        </is>
      </c>
      <c r="B13" s="27" t="inlineStr">
        <is>
          <t>Level 20</t>
        </is>
      </c>
      <c r="C13" s="27" t="inlineStr">
        <is>
          <t>40 Pkt</t>
        </is>
      </c>
    </row>
    <row r="14" ht="15" customHeight="1" s="18">
      <c r="A14" s="23" t="inlineStr">
        <is>
          <t>Epische Gruft</t>
        </is>
      </c>
      <c r="B14" s="23" t="inlineStr">
        <is>
          <t>Level 25</t>
        </is>
      </c>
      <c r="C14" s="23" t="inlineStr">
        <is>
          <t>50 Pkt</t>
        </is>
      </c>
    </row>
    <row r="15" ht="15" customHeight="1" s="18">
      <c r="A15" s="27" t="inlineStr">
        <is>
          <t>Epische Gruft</t>
        </is>
      </c>
      <c r="B15" s="27" t="inlineStr">
        <is>
          <t>Level 30</t>
        </is>
      </c>
      <c r="C15" s="27" t="inlineStr">
        <is>
          <t>75 Pkt</t>
        </is>
      </c>
    </row>
    <row r="16" ht="15" customHeight="1" s="18">
      <c r="A16" s="23" t="inlineStr">
        <is>
          <t>Festung der Elfen</t>
        </is>
      </c>
      <c r="B16" s="23" t="inlineStr">
        <is>
          <t>Level 15</t>
        </is>
      </c>
      <c r="C16" s="23" t="inlineStr">
        <is>
          <t>20 Pkt</t>
        </is>
      </c>
    </row>
    <row r="17" ht="15" customHeight="1" s="18">
      <c r="A17" s="27" t="inlineStr">
        <is>
          <t>Festung der Elfen</t>
        </is>
      </c>
      <c r="B17" s="27" t="inlineStr">
        <is>
          <t>Level 25</t>
        </is>
      </c>
      <c r="C17" s="27" t="inlineStr">
        <is>
          <t>30 Pkt</t>
        </is>
      </c>
    </row>
    <row r="18" ht="15" customHeight="1" s="18">
      <c r="A18" s="23" t="inlineStr">
        <is>
          <t>Festung der Elfen</t>
        </is>
      </c>
      <c r="B18" s="23" t="inlineStr">
        <is>
          <t>Level 30</t>
        </is>
      </c>
      <c r="C18" s="23" t="inlineStr">
        <is>
          <t>40 Pkt</t>
        </is>
      </c>
    </row>
    <row r="19" ht="15" customHeight="1" s="18">
      <c r="A19" s="27" t="inlineStr">
        <is>
          <t>Inferno-Trupp / Hydra</t>
        </is>
      </c>
      <c r="B19" s="27" t="inlineStr">
        <is>
          <t>Alle Level</t>
        </is>
      </c>
      <c r="C19" s="27" t="inlineStr">
        <is>
          <t>50 Pkt</t>
        </is>
      </c>
    </row>
    <row r="20" ht="15" customHeight="1" s="18">
      <c r="A20" s="23" t="inlineStr">
        <is>
          <t>Kürbistruhe</t>
        </is>
      </c>
      <c r="B20" s="23" t="inlineStr">
        <is>
          <t>Event / Kürbis</t>
        </is>
      </c>
      <c r="C20" s="23" t="inlineStr">
        <is>
          <t>50 Pkt</t>
        </is>
      </c>
    </row>
    <row r="21" ht="15" customHeight="1" s="18">
      <c r="A21" s="27" t="inlineStr">
        <is>
          <t>Festung der Verfluchten</t>
        </is>
      </c>
      <c r="B21" s="27" t="inlineStr">
        <is>
          <t>Level 20</t>
        </is>
      </c>
      <c r="C21" s="27" t="inlineStr">
        <is>
          <t>15 Pkt</t>
        </is>
      </c>
    </row>
    <row r="22" ht="15" customHeight="1" s="18">
      <c r="A22" s="23" t="inlineStr">
        <is>
          <t>Festung der Verfluchten</t>
        </is>
      </c>
      <c r="B22" s="23" t="inlineStr">
        <is>
          <t>Level 25</t>
        </is>
      </c>
      <c r="C22" s="23" t="inlineStr">
        <is>
          <t>20 Pkt</t>
        </is>
      </c>
    </row>
    <row r="23" ht="15" customHeight="1" s="18">
      <c r="A23" s="27" t="inlineStr">
        <is>
          <t>Alte Truhe eines Kriegers</t>
        </is>
      </c>
      <c r="B23" s="27" t="inlineStr">
        <is>
          <t>Epische Gruft Level 30</t>
        </is>
      </c>
      <c r="C23" s="27" t="inlineStr">
        <is>
          <t>50 Pkt</t>
        </is>
      </c>
    </row>
    <row r="24" ht="15" customHeight="1" s="18">
      <c r="A24" s="31" t="inlineStr">
        <is>
          <t>Barbarentruhe</t>
        </is>
      </c>
      <c r="B24" s="31" t="inlineStr">
        <is>
          <t>Gruft Level 20-25</t>
        </is>
      </c>
      <c r="C24" s="31" t="inlineStr">
        <is>
          <t>20-25 Pkt</t>
        </is>
      </c>
    </row>
    <row r="25" ht="15" customHeight="1" s="18">
      <c r="A25" s="31" t="inlineStr">
        <is>
          <t>Feuertruhe</t>
        </is>
      </c>
      <c r="B25" s="31" t="inlineStr">
        <is>
          <t>Gruft Level 15-25</t>
        </is>
      </c>
      <c r="C25" s="31" t="inlineStr">
        <is>
          <t>0-25 Pkt</t>
        </is>
      </c>
    </row>
    <row r="26" ht="15" customHeight="1" s="18">
      <c r="A26" s="31" t="inlineStr">
        <is>
          <t>Geflochtene Truhe</t>
        </is>
      </c>
      <c r="B26" s="31" t="inlineStr">
        <is>
          <t>Epische Gruft Level 30</t>
        </is>
      </c>
      <c r="C26" s="31" t="inlineStr">
        <is>
          <t>50 Pkt</t>
        </is>
      </c>
    </row>
    <row r="27" ht="15" customHeight="1" s="18">
      <c r="A27" s="31" t="inlineStr">
        <is>
          <t>Gladiatorentruhe</t>
        </is>
      </c>
      <c r="B27" s="31" t="inlineStr">
        <is>
          <t>Arena</t>
        </is>
      </c>
      <c r="C27" s="31" t="inlineStr">
        <is>
          <t>50 Pkt</t>
        </is>
      </c>
    </row>
    <row r="28" ht="15" customHeight="1" s="18">
      <c r="A28" s="31" t="inlineStr">
        <is>
          <t>Harpyien-Truhe</t>
        </is>
      </c>
      <c r="B28" s="31" t="inlineStr">
        <is>
          <t>Epische Gruft Level 30</t>
        </is>
      </c>
      <c r="C28" s="31" t="inlineStr">
        <is>
          <t>50 Pkt</t>
        </is>
      </c>
    </row>
    <row r="29" ht="15" customHeight="1" s="18">
      <c r="A29" s="31" t="inlineStr">
        <is>
          <t>Infernale Truhe</t>
        </is>
      </c>
      <c r="B29" s="31" t="inlineStr">
        <is>
          <t>Gruft Level 10-25</t>
        </is>
      </c>
      <c r="C29" s="31" t="inlineStr">
        <is>
          <t>20-50 Pkt</t>
        </is>
      </c>
    </row>
    <row r="30" ht="15" customHeight="1" s="18">
      <c r="A30" s="31" t="inlineStr">
        <is>
          <t>Jörmungandrs Truhe</t>
        </is>
      </c>
      <c r="B30" s="31" t="inlineStr">
        <is>
          <t>Jörmungandr-Shop</t>
        </is>
      </c>
      <c r="C30" s="31" t="inlineStr">
        <is>
          <t>50 Pkt</t>
        </is>
      </c>
    </row>
    <row r="31" ht="15" customHeight="1" s="18">
      <c r="A31" s="31" t="inlineStr">
        <is>
          <t>Knochentruhe</t>
        </is>
      </c>
      <c r="B31" s="31" t="inlineStr">
        <is>
          <t>Gruft Level 5-25</t>
        </is>
      </c>
      <c r="C31" s="31" t="inlineStr">
        <is>
          <t>25 Pkt</t>
        </is>
      </c>
    </row>
    <row r="32" ht="15" customHeight="1" s="18">
      <c r="A32" s="31" t="inlineStr">
        <is>
          <t>Kobalt-Truhe</t>
        </is>
      </c>
      <c r="B32" s="31" t="inlineStr">
        <is>
          <t>Epische Gruft Level 20-30</t>
        </is>
      </c>
      <c r="C32" s="31" t="inlineStr">
        <is>
          <t>50 Pkt</t>
        </is>
      </c>
    </row>
    <row r="33" ht="15" customHeight="1" s="18">
      <c r="A33" s="31" t="inlineStr">
        <is>
          <t>Sandtruhe</t>
        </is>
      </c>
      <c r="B33" s="31" t="inlineStr">
        <is>
          <t>Gruft Level 25</t>
        </is>
      </c>
      <c r="C33" s="31" t="inlineStr">
        <is>
          <t>25 Pkt</t>
        </is>
      </c>
    </row>
    <row r="34" ht="15" customHeight="1" s="18">
      <c r="A34" s="31" t="inlineStr">
        <is>
          <t>Saphir-Truhe</t>
        </is>
      </c>
      <c r="B34" s="31" t="inlineStr">
        <is>
          <t>Schatzkammer der Ahnen (Level 25-45)</t>
        </is>
      </c>
      <c r="C34" s="31" t="inlineStr">
        <is>
          <t>50 Pkt</t>
        </is>
      </c>
    </row>
    <row r="35" ht="15" customHeight="1" s="18">
      <c r="A35" s="31" t="inlineStr">
        <is>
          <t>Schildkröten-Truhe</t>
        </is>
      </c>
      <c r="B35" s="31" t="inlineStr">
        <is>
          <t>Epische Gruft Level 30</t>
        </is>
      </c>
      <c r="C35" s="31" t="inlineStr">
        <is>
          <t>50 Pkt</t>
        </is>
      </c>
    </row>
    <row r="36" ht="15" customHeight="1" s="18">
      <c r="A36" s="31" t="inlineStr">
        <is>
          <t>Schöne Truhe</t>
        </is>
      </c>
      <c r="B36" s="31" t="inlineStr">
        <is>
          <t>Gruft Level 20-25</t>
        </is>
      </c>
      <c r="C36" s="31" t="inlineStr">
        <is>
          <t>20-25 Pkt</t>
        </is>
      </c>
    </row>
    <row r="37" ht="15" customHeight="1" s="18">
      <c r="A37" s="31" t="inlineStr">
        <is>
          <t>Seltene Drachentruhe</t>
        </is>
      </c>
      <c r="B37" s="31" t="inlineStr">
        <is>
          <t>Seltene Gruft Level 25-30</t>
        </is>
      </c>
      <c r="C37" s="31" t="inlineStr">
        <is>
          <t>25-50 Pkt</t>
        </is>
      </c>
    </row>
    <row r="38" ht="15" customHeight="1" s="18">
      <c r="A38" s="31" t="inlineStr">
        <is>
          <t>Skarabäus-Truhe</t>
        </is>
      </c>
      <c r="B38" s="31" t="inlineStr">
        <is>
          <t>Epische Gruft Level 25-30</t>
        </is>
      </c>
      <c r="C38" s="31" t="inlineStr">
        <is>
          <t>50 Pkt</t>
        </is>
      </c>
    </row>
    <row r="39" ht="15" customHeight="1" s="18">
      <c r="A39" s="31" t="inlineStr">
        <is>
          <t>Steintruhe</t>
        </is>
      </c>
      <c r="B39" s="31" t="inlineStr">
        <is>
          <t>Gruft Level 20-25</t>
        </is>
      </c>
      <c r="C39" s="31" t="inlineStr">
        <is>
          <t>20-25 Pkt</t>
        </is>
      </c>
    </row>
    <row r="40" ht="15" customHeight="1" s="18">
      <c r="A40" s="31" t="inlineStr">
        <is>
          <t>Trillium-Truhe</t>
        </is>
      </c>
      <c r="B40" s="31" t="inlineStr">
        <is>
          <t>Epische Gruft Level 20</t>
        </is>
      </c>
      <c r="C40" s="31" t="inlineStr">
        <is>
          <t>50 Pkt</t>
        </is>
      </c>
    </row>
    <row r="41" ht="15" customHeight="1" s="18">
      <c r="A41" s="31" t="inlineStr">
        <is>
          <t>Truhe der Maya</t>
        </is>
      </c>
      <c r="B41" s="31" t="inlineStr">
        <is>
          <t>Maya-Event / Gruft</t>
        </is>
      </c>
      <c r="C41" s="31" t="inlineStr">
        <is>
          <t>20-50 Pkt</t>
        </is>
      </c>
    </row>
    <row r="42" ht="15" customHeight="1" s="18">
      <c r="A42" s="31" t="inlineStr">
        <is>
          <t>Truhe der Orks</t>
        </is>
      </c>
      <c r="B42" s="31" t="inlineStr">
        <is>
          <t>Gruft Level 5-25</t>
        </is>
      </c>
      <c r="C42" s="31" t="inlineStr">
        <is>
          <t>0-25 Pkt</t>
        </is>
      </c>
    </row>
    <row r="43" ht="15" customHeight="1" s="18">
      <c r="A43" s="31" t="inlineStr">
        <is>
          <t>Truhe der Zwergen-Werkstatt</t>
        </is>
      </c>
      <c r="B43" s="31" t="inlineStr">
        <is>
          <t>Gruft Level 10-25</t>
        </is>
      </c>
      <c r="C43" s="31" t="inlineStr">
        <is>
          <t>25 Pkt</t>
        </is>
      </c>
    </row>
    <row r="44" ht="15" customHeight="1" s="18">
      <c r="A44" s="31" t="inlineStr">
        <is>
          <t>Truhe des Hauses des Schreckens</t>
        </is>
      </c>
      <c r="B44" s="31" t="inlineStr">
        <is>
          <t>Haus des Schreckens Event</t>
        </is>
      </c>
      <c r="C44" s="31" t="inlineStr">
        <is>
          <t>50 Pkt</t>
        </is>
      </c>
    </row>
    <row r="45" ht="15" customHeight="1" s="18">
      <c r="A45" s="31" t="inlineStr">
        <is>
          <t>Truhe des Priesters</t>
        </is>
      </c>
      <c r="B45" s="31" t="inlineStr">
        <is>
          <t>Epische Gruft Level 20</t>
        </is>
      </c>
      <c r="C45" s="31" t="inlineStr">
        <is>
          <t>50 Pkt</t>
        </is>
      </c>
    </row>
    <row r="46" ht="15" customHeight="1" s="18">
      <c r="A46" s="31" t="inlineStr">
        <is>
          <t>Unionstruhe</t>
        </is>
      </c>
      <c r="B46" s="31" t="inlineStr">
        <is>
          <t>Persönliche Belohnung / Union</t>
        </is>
      </c>
      <c r="C46" s="31" t="inlineStr">
        <is>
          <t>50 Pkt</t>
        </is>
      </c>
    </row>
    <row r="47" ht="15" customHeight="1" s="18">
      <c r="A47" s="31" t="inlineStr">
        <is>
          <t>Vergessene Truhe</t>
        </is>
      </c>
      <c r="B47" s="31" t="inlineStr">
        <is>
          <t>Gruft Level 15-25</t>
        </is>
      </c>
      <c r="C47" s="31" t="inlineStr">
        <is>
          <t>0-25 Pkt</t>
        </is>
      </c>
    </row>
    <row r="48" ht="15" customHeight="1" s="18">
      <c r="A48" s="31" t="inlineStr">
        <is>
          <t>Weiße Holztruhe</t>
        </is>
      </c>
      <c r="B48" s="31" t="inlineStr">
        <is>
          <t>Epische Gruft Level 15-25</t>
        </is>
      </c>
      <c r="C48" s="31" t="inlineStr">
        <is>
          <t>25-50 Pkt</t>
        </is>
      </c>
    </row>
    <row r="49" ht="15" customHeight="1" s="18">
      <c r="A49" s="31" t="inlineStr">
        <is>
          <t>Turmbau (Spezial)</t>
        </is>
      </c>
      <c r="B49" s="31" t="inlineStr">
        <is>
          <t>Pro gebautem Turm</t>
        </is>
      </c>
      <c r="C49" s="31" t="inlineStr">
        <is>
          <t>50 Pkt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67" customWidth="1" style="17" min="1" max="1"/>
    <col width="92" customWidth="1" style="17" min="2" max="2"/>
    <col width="48" customWidth="1" style="17" min="3" max="5"/>
  </cols>
  <sheetData>
    <row r="1" ht="15" customHeight="1" s="18">
      <c r="A1" s="19" t="inlineStr">
        <is>
          <t>Top 5 Clan-Mitglieder - Die meisten Punkte (Truhen + Turmbau)</t>
        </is>
      </c>
      <c r="B1" s="34" t="n"/>
      <c r="C1" s="34" t="n"/>
      <c r="D1" s="34" t="n"/>
      <c r="E1" s="34" t="n"/>
    </row>
    <row r="2">
      <c r="A2" s="34" t="n"/>
      <c r="B2" s="34" t="n"/>
      <c r="C2" s="34" t="n"/>
      <c r="D2" s="34" t="n"/>
      <c r="E2" s="34" t="n"/>
    </row>
    <row r="3" ht="15" customHeight="1" s="18">
      <c r="A3" s="21" t="inlineStr">
        <is>
          <t>Platzierung</t>
        </is>
      </c>
      <c r="B3" s="21" t="inlineStr">
        <is>
          <t>Spielername</t>
        </is>
      </c>
      <c r="C3" s="21" t="inlineStr">
        <is>
          <t>Rang</t>
        </is>
      </c>
      <c r="D3" s="21" t="inlineStr">
        <is>
          <t>Truhen_Punkte</t>
        </is>
      </c>
      <c r="E3" s="21" t="inlineStr">
        <is>
          <t>Gesamt_Punkte (inkl. Turmbau)</t>
        </is>
      </c>
    </row>
    <row r="4" ht="15" customHeight="1" s="18">
      <c r="A4" s="23" t="inlineStr">
        <is>
          <t>Platz 1</t>
        </is>
      </c>
      <c r="B4" s="23">
        <f>INDEX(Truhen_Tracker!B:B, MATCH(LARGE(Truhen_Tracker!I:I, 1), Truhen_Tracker!I:I, 0))</f>
        <v/>
      </c>
      <c r="C4" s="23">
        <f>VLOOKUP(B4, Truhen_Tracker!B:C, 2, FALSE())</f>
        <v/>
      </c>
      <c r="D4" s="25">
        <f>VLOOKUP(B4, Truhen_Tracker!B:G, 6, FALSE())</f>
        <v/>
      </c>
      <c r="E4" s="33">
        <f>VLOOKUP(B4, Truhen_Tracker!B:I, 9, FALSE())</f>
        <v/>
      </c>
    </row>
    <row r="5" ht="15" customHeight="1" s="18">
      <c r="A5" s="23" t="inlineStr">
        <is>
          <t>Platz 2</t>
        </is>
      </c>
      <c r="B5" s="23">
        <f>INDEX(Truhen_Tracker!B:B, MATCH(LARGE(Truhen_Tracker!I:I, 2), Truhen_Tracker!I:I, 0))</f>
        <v/>
      </c>
      <c r="C5" s="23">
        <f>VLOOKUP(B5, Truhen_Tracker!B:C, 2, FALSE())</f>
        <v/>
      </c>
      <c r="D5" s="25">
        <f>VLOOKUP(B5, Truhen_Tracker!B:G, 6, FALSE())</f>
        <v/>
      </c>
      <c r="E5" s="33">
        <f>VLOOKUP(B5, Truhen_Tracker!B:I, 9, FALSE())</f>
        <v/>
      </c>
    </row>
    <row r="6" ht="15" customHeight="1" s="18">
      <c r="A6" s="23" t="inlineStr">
        <is>
          <t>Platz 3</t>
        </is>
      </c>
      <c r="B6" s="23">
        <f>INDEX(Truhen_Tracker!B:B, MATCH(LARGE(Truhen_Tracker!I:I, 3), Truhen_Tracker!I:I, 0))</f>
        <v/>
      </c>
      <c r="C6" s="23">
        <f>VLOOKUP(B6, Truhen_Tracker!B:C, 2, FALSE())</f>
        <v/>
      </c>
      <c r="D6" s="25">
        <f>VLOOKUP(B6, Truhen_Tracker!B:G, 6, FALSE())</f>
        <v/>
      </c>
      <c r="E6" s="33">
        <f>VLOOKUP(B6, Truhen_Tracker!B:I, 9, FALSE())</f>
        <v/>
      </c>
    </row>
    <row r="7" ht="15" customHeight="1" s="18">
      <c r="A7" s="23" t="inlineStr">
        <is>
          <t>Platz 4</t>
        </is>
      </c>
      <c r="B7" s="23">
        <f>INDEX(Truhen_Tracker!B:B, MATCH(LARGE(Truhen_Tracker!I:I, 4), Truhen_Tracker!I:I, 0))</f>
        <v/>
      </c>
      <c r="C7" s="23">
        <f>VLOOKUP(B7, Truhen_Tracker!B:C, 2, FALSE())</f>
        <v/>
      </c>
      <c r="D7" s="25">
        <f>VLOOKUP(B7, Truhen_Tracker!B:G, 6, FALSE())</f>
        <v/>
      </c>
      <c r="E7" s="33">
        <f>VLOOKUP(B7, Truhen_Tracker!B:I, 9, FALSE())</f>
        <v/>
      </c>
    </row>
    <row r="8" ht="15" customHeight="1" s="18">
      <c r="A8" s="23" t="inlineStr">
        <is>
          <t>Platz 5</t>
        </is>
      </c>
      <c r="B8" s="23">
        <f>INDEX(Truhen_Tracker!B:B, MATCH(LARGE(Truhen_Tracker!I:I, 5), Truhen_Tracker!I:I, 0))</f>
        <v/>
      </c>
      <c r="C8" s="23">
        <f>VLOOKUP(B8, Truhen_Tracker!B:C, 2, FALSE())</f>
        <v/>
      </c>
      <c r="D8" s="25">
        <f>VLOOKUP(B8, Truhen_Tracker!B:G, 6, FALSE())</f>
        <v/>
      </c>
      <c r="E8" s="33">
        <f>VLOOKUP(B8, Truhen_Tracker!B:I, 9, FALSE())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48" customWidth="1" style="17" min="1" max="1"/>
    <col width="24" customWidth="1" style="17" min="2" max="2"/>
    <col width="18" customWidth="1" style="17" min="3" max="3"/>
    <col width="20" customWidth="1" style="17" min="4" max="4"/>
  </cols>
  <sheetData>
    <row r="1" ht="15" customHeight="1" s="18">
      <c r="A1" s="21" t="inlineStr">
        <is>
          <t>ID</t>
        </is>
      </c>
      <c r="B1" s="21" t="inlineStr">
        <is>
          <t>Spielername</t>
        </is>
      </c>
      <c r="C1" s="21" t="inlineStr">
        <is>
          <t>Rang</t>
        </is>
      </c>
      <c r="D1" s="21" t="inlineStr">
        <is>
          <t>Status / Rolle</t>
        </is>
      </c>
    </row>
    <row r="2">
      <c r="A2" s="23" t="n">
        <v>1</v>
      </c>
      <c r="B2" s="23" t="inlineStr">
        <is>
          <t>LegatusLabienus</t>
        </is>
      </c>
      <c r="C2" s="23" t="inlineStr">
        <is>
          <t>Anführer</t>
        </is>
      </c>
      <c r="D2" s="23" t="inlineStr">
        <is>
          <t>Hauptbank</t>
        </is>
      </c>
    </row>
    <row r="3" ht="15" customHeight="1" s="18">
      <c r="A3" s="27" t="n">
        <v>2</v>
      </c>
      <c r="B3" s="27" t="inlineStr">
        <is>
          <t>man of war</t>
        </is>
      </c>
      <c r="C3" s="27" t="inlineStr">
        <is>
          <t>Vorgesetzter</t>
        </is>
      </c>
      <c r="D3" s="27" t="inlineStr">
        <is>
          <t>Hauptbank</t>
        </is>
      </c>
    </row>
    <row r="4" ht="15" customHeight="1" s="18">
      <c r="A4" s="23" t="n">
        <v>3</v>
      </c>
      <c r="B4" s="23" t="inlineStr">
        <is>
          <t>Miss Dire</t>
        </is>
      </c>
      <c r="C4" s="23" t="inlineStr">
        <is>
          <t>Vorgesetzter</t>
        </is>
      </c>
      <c r="D4" s="23" t="inlineStr">
        <is>
          <t>Hauptbank</t>
        </is>
      </c>
    </row>
    <row r="5" ht="15" customHeight="1" s="18">
      <c r="A5" s="27" t="n">
        <v>4</v>
      </c>
      <c r="B5" s="27" t="inlineStr">
        <is>
          <t>WYSIWYG</t>
        </is>
      </c>
      <c r="C5" s="27" t="inlineStr">
        <is>
          <t>Vorgesetzter</t>
        </is>
      </c>
      <c r="D5" s="27" t="inlineStr">
        <is>
          <t>Hauptbank</t>
        </is>
      </c>
    </row>
    <row r="6" ht="15" customHeight="1" s="18">
      <c r="A6" s="23" t="n">
        <v>5</v>
      </c>
      <c r="B6" s="23" t="inlineStr">
        <is>
          <t>LedZep2</t>
        </is>
      </c>
      <c r="C6" s="23" t="inlineStr">
        <is>
          <t>Vorgesetzter</t>
        </is>
      </c>
      <c r="D6" s="23" t="inlineStr">
        <is>
          <t>Hauptbank</t>
        </is>
      </c>
    </row>
    <row r="7" ht="15" customHeight="1" s="18">
      <c r="A7" s="27" t="n">
        <v>6</v>
      </c>
      <c r="B7" s="27" t="inlineStr">
        <is>
          <t>Frederico Freitas</t>
        </is>
      </c>
      <c r="C7" s="27" t="inlineStr">
        <is>
          <t>Vorgesetzter</t>
        </is>
      </c>
      <c r="D7" s="27" t="inlineStr">
        <is>
          <t>Hauptbank</t>
        </is>
      </c>
    </row>
    <row r="8" ht="15" customHeight="1" s="18">
      <c r="A8" s="23" t="n">
        <v>7</v>
      </c>
      <c r="B8" s="23" t="inlineStr">
        <is>
          <t>Rainha de Copas</t>
        </is>
      </c>
      <c r="C8" s="23" t="inlineStr">
        <is>
          <t>Vorgesetzter</t>
        </is>
      </c>
      <c r="D8" s="23" t="inlineStr">
        <is>
          <t>Hauptbank</t>
        </is>
      </c>
    </row>
    <row r="9" ht="15" customHeight="1" s="18">
      <c r="A9" s="27" t="n">
        <v>8</v>
      </c>
      <c r="B9" s="27" t="inlineStr">
        <is>
          <t>kikito</t>
        </is>
      </c>
      <c r="C9" s="27" t="inlineStr">
        <is>
          <t>Vorgesetzter</t>
        </is>
      </c>
      <c r="D9" s="27" t="inlineStr">
        <is>
          <t>Hauptbank</t>
        </is>
      </c>
    </row>
    <row r="10" ht="15" customHeight="1" s="18">
      <c r="A10" s="23" t="n">
        <v>9</v>
      </c>
      <c r="B10" s="23" t="inlineStr">
        <is>
          <t>Parvus 51</t>
        </is>
      </c>
      <c r="C10" s="23" t="inlineStr">
        <is>
          <t>Offizier</t>
        </is>
      </c>
      <c r="D10" s="23" t="inlineStr">
        <is>
          <t>Hauptbank</t>
        </is>
      </c>
    </row>
    <row r="11" ht="15" customHeight="1" s="18">
      <c r="A11" s="27" t="n">
        <v>10</v>
      </c>
      <c r="B11" s="27" t="inlineStr">
        <is>
          <t>Delalen</t>
        </is>
      </c>
      <c r="C11" s="27" t="inlineStr">
        <is>
          <t>Offizier</t>
        </is>
      </c>
      <c r="D11" s="27" t="inlineStr">
        <is>
          <t>Hauptbank</t>
        </is>
      </c>
    </row>
    <row r="12" ht="15" customHeight="1" s="18">
      <c r="A12" s="23" t="n">
        <v>11</v>
      </c>
      <c r="B12" s="23" t="inlineStr">
        <is>
          <t>Loki</t>
        </is>
      </c>
      <c r="C12" s="23" t="inlineStr">
        <is>
          <t>Offizier</t>
        </is>
      </c>
      <c r="D12" s="23" t="inlineStr">
        <is>
          <t>Hauptbank</t>
        </is>
      </c>
    </row>
    <row r="13" ht="15" customHeight="1" s="18">
      <c r="A13" s="27" t="n">
        <v>12</v>
      </c>
      <c r="B13" s="27" t="inlineStr">
        <is>
          <t>Gran Rex</t>
        </is>
      </c>
      <c r="C13" s="27" t="inlineStr">
        <is>
          <t>Offizier</t>
        </is>
      </c>
      <c r="D13" s="27" t="inlineStr">
        <is>
          <t>Hauptbank</t>
        </is>
      </c>
    </row>
    <row r="14" ht="15" customHeight="1" s="18">
      <c r="A14" s="23" t="n">
        <v>13</v>
      </c>
      <c r="B14" s="23" t="inlineStr">
        <is>
          <t>TECH</t>
        </is>
      </c>
      <c r="C14" s="23" t="inlineStr">
        <is>
          <t>Offizier</t>
        </is>
      </c>
      <c r="D14" s="23" t="inlineStr">
        <is>
          <t>Hauptbank</t>
        </is>
      </c>
    </row>
    <row r="15" ht="15" customHeight="1" s="18">
      <c r="A15" s="27" t="n">
        <v>14</v>
      </c>
      <c r="B15" s="27" t="inlineStr">
        <is>
          <t>Son Of Algéri</t>
        </is>
      </c>
      <c r="C15" s="27" t="inlineStr">
        <is>
          <t>Offizier</t>
        </is>
      </c>
      <c r="D15" s="27" t="inlineStr">
        <is>
          <t>Hauptbank</t>
        </is>
      </c>
    </row>
    <row r="16" ht="15" customHeight="1" s="18">
      <c r="A16" s="23" t="n">
        <v>15</v>
      </c>
      <c r="B16" s="23" t="inlineStr">
        <is>
          <t>Goll</t>
        </is>
      </c>
      <c r="C16" s="23" t="inlineStr">
        <is>
          <t>Offizier</t>
        </is>
      </c>
      <c r="D16" s="23" t="inlineStr">
        <is>
          <t>Hauptbank</t>
        </is>
      </c>
    </row>
    <row r="17" ht="15" customHeight="1" s="18">
      <c r="A17" s="27" t="n">
        <v>16</v>
      </c>
      <c r="B17" s="27" t="inlineStr">
        <is>
          <t>Tanmisis</t>
        </is>
      </c>
      <c r="C17" s="27" t="inlineStr">
        <is>
          <t>Veteran</t>
        </is>
      </c>
      <c r="D17" s="27" t="inlineStr">
        <is>
          <t>Hauptbank</t>
        </is>
      </c>
    </row>
    <row r="18" ht="15" customHeight="1" s="18">
      <c r="A18" s="23" t="n">
        <v>17</v>
      </c>
      <c r="B18" s="23" t="inlineStr">
        <is>
          <t>Sir spanksALot</t>
        </is>
      </c>
      <c r="C18" s="23" t="inlineStr">
        <is>
          <t>Veteran</t>
        </is>
      </c>
      <c r="D18" s="23" t="inlineStr">
        <is>
          <t>Hauptbank</t>
        </is>
      </c>
    </row>
    <row r="19" ht="15" customHeight="1" s="18">
      <c r="A19" s="27" t="n">
        <v>18</v>
      </c>
      <c r="B19" s="27" t="inlineStr">
        <is>
          <t>BAD Guo II</t>
        </is>
      </c>
      <c r="C19" s="27" t="inlineStr">
        <is>
          <t>Veteran</t>
        </is>
      </c>
      <c r="D19" s="27" t="inlineStr">
        <is>
          <t>Hauptbank</t>
        </is>
      </c>
    </row>
    <row r="20" ht="15" customHeight="1" s="18">
      <c r="A20" s="23" t="n">
        <v>19</v>
      </c>
      <c r="B20" s="23" t="inlineStr">
        <is>
          <t>Riyash</t>
        </is>
      </c>
      <c r="C20" s="23" t="inlineStr">
        <is>
          <t>Veteran</t>
        </is>
      </c>
      <c r="D20" s="23" t="inlineStr">
        <is>
          <t>Hauptbank</t>
        </is>
      </c>
    </row>
    <row r="21" ht="15" customHeight="1" s="18">
      <c r="A21" s="27" t="n">
        <v>20</v>
      </c>
      <c r="B21" s="27" t="inlineStr">
        <is>
          <t>Sir Charles</t>
        </is>
      </c>
      <c r="C21" s="27" t="inlineStr">
        <is>
          <t>Veteran</t>
        </is>
      </c>
      <c r="D21" s="27" t="inlineStr">
        <is>
          <t>Hauptbank</t>
        </is>
      </c>
    </row>
    <row r="22" ht="15" customHeight="1" s="18">
      <c r="A22" s="23" t="n">
        <v>21</v>
      </c>
      <c r="B22" s="23" t="inlineStr">
        <is>
          <t>Manador II</t>
        </is>
      </c>
      <c r="C22" s="23" t="inlineStr">
        <is>
          <t>Veteran</t>
        </is>
      </c>
      <c r="D22" s="23" t="inlineStr">
        <is>
          <t>Hauptbank</t>
        </is>
      </c>
    </row>
    <row r="23" ht="15" customHeight="1" s="18">
      <c r="A23" s="27" t="n">
        <v>22</v>
      </c>
      <c r="B23" s="27" t="inlineStr">
        <is>
          <t>Riyash CP CITY</t>
        </is>
      </c>
      <c r="C23" s="27" t="inlineStr">
        <is>
          <t>Veteran</t>
        </is>
      </c>
      <c r="D23" s="27" t="inlineStr">
        <is>
          <t>Hauptbank</t>
        </is>
      </c>
    </row>
    <row r="24" ht="15" customHeight="1" s="18">
      <c r="A24" s="23" t="n">
        <v>23</v>
      </c>
      <c r="B24" s="23" t="inlineStr">
        <is>
          <t>Magellan</t>
        </is>
      </c>
      <c r="C24" s="23" t="inlineStr">
        <is>
          <t>Veteran</t>
        </is>
      </c>
      <c r="D24" s="23" t="inlineStr">
        <is>
          <t>Hauptbank</t>
        </is>
      </c>
    </row>
    <row r="25" ht="15" customHeight="1" s="18">
      <c r="A25" s="27" t="n">
        <v>24</v>
      </c>
      <c r="B25" s="27" t="inlineStr">
        <is>
          <t>Explorer</t>
        </is>
      </c>
      <c r="C25" s="27" t="inlineStr">
        <is>
          <t>Veteran</t>
        </is>
      </c>
      <c r="D25" s="27" t="inlineStr">
        <is>
          <t>Hauptbank</t>
        </is>
      </c>
    </row>
    <row r="26" ht="15" customHeight="1" s="18">
      <c r="A26" s="23" t="n">
        <v>25</v>
      </c>
      <c r="B26" s="23" t="inlineStr">
        <is>
          <t>Samy</t>
        </is>
      </c>
      <c r="C26" s="23" t="inlineStr">
        <is>
          <t>Veteran</t>
        </is>
      </c>
      <c r="D26" s="23" t="inlineStr">
        <is>
          <t>Hauptbank</t>
        </is>
      </c>
    </row>
    <row r="27" ht="15" customHeight="1" s="18">
      <c r="A27" s="27" t="n">
        <v>26</v>
      </c>
      <c r="B27" s="27" t="inlineStr">
        <is>
          <t>DRACULA</t>
        </is>
      </c>
      <c r="C27" s="27" t="inlineStr">
        <is>
          <t>Veteran</t>
        </is>
      </c>
      <c r="D27" s="27" t="inlineStr">
        <is>
          <t>Hauptbank</t>
        </is>
      </c>
    </row>
    <row r="28" ht="15" customHeight="1" s="18">
      <c r="A28" s="23" t="n">
        <v>27</v>
      </c>
      <c r="B28" s="23" t="inlineStr">
        <is>
          <t>Osoooo</t>
        </is>
      </c>
      <c r="C28" s="23" t="inlineStr">
        <is>
          <t>Veteran</t>
        </is>
      </c>
      <c r="D28" s="23" t="inlineStr">
        <is>
          <t>Hauptbank</t>
        </is>
      </c>
    </row>
    <row r="29" ht="15" customHeight="1" s="18">
      <c r="A29" s="27" t="n">
        <v>28</v>
      </c>
      <c r="B29" s="27" t="inlineStr">
        <is>
          <t>bjar</t>
        </is>
      </c>
      <c r="C29" s="27" t="inlineStr">
        <is>
          <t>Veteran</t>
        </is>
      </c>
      <c r="D29" s="27" t="inlineStr">
        <is>
          <t>Hauptbank</t>
        </is>
      </c>
    </row>
    <row r="30" ht="15" customHeight="1" s="18">
      <c r="A30" s="23" t="n">
        <v>29</v>
      </c>
      <c r="B30" s="23" t="inlineStr">
        <is>
          <t>Biin</t>
        </is>
      </c>
      <c r="C30" s="23" t="inlineStr">
        <is>
          <t>Veteran</t>
        </is>
      </c>
      <c r="D30" s="23" t="inlineStr">
        <is>
          <t>Hauptbank</t>
        </is>
      </c>
    </row>
    <row r="31" ht="15" customHeight="1" s="18">
      <c r="A31" s="27" t="n">
        <v>30</v>
      </c>
      <c r="B31" s="27" t="inlineStr">
        <is>
          <t>Maem</t>
        </is>
      </c>
      <c r="C31" s="27" t="inlineStr">
        <is>
          <t>Veteran</t>
        </is>
      </c>
      <c r="D31" s="27" t="inlineStr">
        <is>
          <t>Hauptbank</t>
        </is>
      </c>
    </row>
    <row r="32" ht="15" customHeight="1" s="18">
      <c r="A32" s="23" t="n">
        <v>31</v>
      </c>
      <c r="B32" s="23" t="inlineStr">
        <is>
          <t>Mojo</t>
        </is>
      </c>
      <c r="C32" s="23" t="inlineStr">
        <is>
          <t>Veteran</t>
        </is>
      </c>
      <c r="D32" s="23" t="inlineStr">
        <is>
          <t>Hauptbank</t>
        </is>
      </c>
    </row>
    <row r="33" ht="15" customHeight="1" s="18">
      <c r="A33" s="27" t="n">
        <v>32</v>
      </c>
      <c r="B33" s="27" t="inlineStr">
        <is>
          <t>Kariel</t>
        </is>
      </c>
      <c r="C33" s="27" t="inlineStr">
        <is>
          <t>Veteran</t>
        </is>
      </c>
      <c r="D33" s="27" t="inlineStr">
        <is>
          <t>Hauptbank</t>
        </is>
      </c>
    </row>
    <row r="34" ht="15" customHeight="1" s="18">
      <c r="A34" s="23" t="n">
        <v>33</v>
      </c>
      <c r="B34" s="23" t="inlineStr">
        <is>
          <t>Elginan</t>
        </is>
      </c>
      <c r="C34" s="23" t="inlineStr">
        <is>
          <t>Veteran</t>
        </is>
      </c>
      <c r="D34" s="23" t="inlineStr">
        <is>
          <t>Hauptbank</t>
        </is>
      </c>
    </row>
    <row r="35" ht="15" customHeight="1" s="18">
      <c r="A35" s="27" t="n">
        <v>34</v>
      </c>
      <c r="B35" s="27" t="inlineStr">
        <is>
          <t>Auzar</t>
        </is>
      </c>
      <c r="C35" s="27" t="inlineStr">
        <is>
          <t>Veteran</t>
        </is>
      </c>
      <c r="D35" s="27" t="inlineStr">
        <is>
          <t>Hauptbank</t>
        </is>
      </c>
    </row>
    <row r="36" ht="15" customHeight="1" s="18">
      <c r="A36" s="23" t="n">
        <v>35</v>
      </c>
      <c r="B36" s="23" t="inlineStr">
        <is>
          <t>Heimdall sk</t>
        </is>
      </c>
      <c r="C36" s="23" t="inlineStr">
        <is>
          <t>Veteran</t>
        </is>
      </c>
      <c r="D36" s="23" t="inlineStr">
        <is>
          <t>Hauptbank</t>
        </is>
      </c>
    </row>
    <row r="37" ht="15" customHeight="1" s="18">
      <c r="A37" s="27" t="n">
        <v>36</v>
      </c>
      <c r="B37" s="27" t="inlineStr">
        <is>
          <t>Carruggi 5r</t>
        </is>
      </c>
      <c r="C37" s="27" t="inlineStr">
        <is>
          <t>Veteran</t>
        </is>
      </c>
      <c r="D37" s="27" t="inlineStr">
        <is>
          <t>Hauptbank</t>
        </is>
      </c>
    </row>
    <row r="38" ht="15" customHeight="1" s="18">
      <c r="A38" s="23" t="n">
        <v>37</v>
      </c>
      <c r="B38" s="23" t="inlineStr">
        <is>
          <t>Dalas</t>
        </is>
      </c>
      <c r="C38" s="23" t="inlineStr">
        <is>
          <t>Veteran</t>
        </is>
      </c>
      <c r="D38" s="23" t="inlineStr">
        <is>
          <t>Hauptbank</t>
        </is>
      </c>
    </row>
    <row r="39" ht="15" customHeight="1" s="18">
      <c r="A39" s="27" t="n">
        <v>38</v>
      </c>
      <c r="B39" s="27" t="inlineStr">
        <is>
          <t>ICHNOS</t>
        </is>
      </c>
      <c r="C39" s="27" t="inlineStr">
        <is>
          <t>Veteran</t>
        </is>
      </c>
      <c r="D39" s="27" t="inlineStr">
        <is>
          <t>Hauptbank</t>
        </is>
      </c>
    </row>
    <row r="40" ht="15" customHeight="1" s="18">
      <c r="A40" s="23" t="n">
        <v>39</v>
      </c>
      <c r="B40" s="23" t="inlineStr">
        <is>
          <t>Lee the Ugly</t>
        </is>
      </c>
      <c r="C40" s="23" t="inlineStr">
        <is>
          <t>Veteran</t>
        </is>
      </c>
      <c r="D40" s="23" t="inlineStr">
        <is>
          <t>Hauptbank</t>
        </is>
      </c>
    </row>
    <row r="41" ht="15" customHeight="1" s="18">
      <c r="A41" s="27" t="n">
        <v>40</v>
      </c>
      <c r="B41" s="27" t="inlineStr">
        <is>
          <t>kordy</t>
        </is>
      </c>
      <c r="C41" s="27" t="inlineStr">
        <is>
          <t>Veteran</t>
        </is>
      </c>
      <c r="D41" s="27" t="inlineStr">
        <is>
          <t>Hauptbank</t>
        </is>
      </c>
    </row>
    <row r="42" ht="15" customHeight="1" s="18">
      <c r="A42" s="23" t="n">
        <v>41</v>
      </c>
      <c r="B42" s="23" t="inlineStr">
        <is>
          <t>Ajax</t>
        </is>
      </c>
      <c r="C42" s="23" t="inlineStr">
        <is>
          <t>Veteran</t>
        </is>
      </c>
      <c r="D42" s="23" t="inlineStr">
        <is>
          <t>Hauptbank</t>
        </is>
      </c>
    </row>
    <row r="43" ht="15" customHeight="1" s="18">
      <c r="A43" s="27" t="n">
        <v>42</v>
      </c>
      <c r="B43" s="27" t="inlineStr">
        <is>
          <t>Granidred</t>
        </is>
      </c>
      <c r="C43" s="27" t="inlineStr">
        <is>
          <t>Veteran</t>
        </is>
      </c>
      <c r="D43" s="27" t="inlineStr">
        <is>
          <t>Hauptbank</t>
        </is>
      </c>
    </row>
    <row r="44" ht="15" customHeight="1" s="18">
      <c r="A44" s="23" t="n">
        <v>43</v>
      </c>
      <c r="B44" s="23" t="inlineStr">
        <is>
          <t>Ayar</t>
        </is>
      </c>
      <c r="C44" s="23" t="inlineStr">
        <is>
          <t>Veteran</t>
        </is>
      </c>
      <c r="D44" s="23" t="inlineStr">
        <is>
          <t>Hauptbank</t>
        </is>
      </c>
    </row>
    <row r="45" ht="15" customHeight="1" s="18">
      <c r="A45" s="27" t="n">
        <v>44</v>
      </c>
      <c r="B45" s="27" t="inlineStr">
        <is>
          <t>BELEN</t>
        </is>
      </c>
      <c r="C45" s="27" t="inlineStr">
        <is>
          <t>Veteran</t>
        </is>
      </c>
      <c r="D45" s="27" t="inlineStr">
        <is>
          <t>Hauptbank</t>
        </is>
      </c>
    </row>
    <row r="46" ht="15" customHeight="1" s="18">
      <c r="A46" s="23" t="n">
        <v>45</v>
      </c>
      <c r="B46" s="23" t="inlineStr">
        <is>
          <t>Roula</t>
        </is>
      </c>
      <c r="C46" s="23" t="inlineStr">
        <is>
          <t>Veteran</t>
        </is>
      </c>
      <c r="D46" s="23" t="inlineStr">
        <is>
          <t>Hauptbank</t>
        </is>
      </c>
    </row>
    <row r="47" ht="15" customHeight="1" s="18">
      <c r="A47" s="27" t="n">
        <v>46</v>
      </c>
      <c r="B47" s="27" t="inlineStr">
        <is>
          <t>Sirius</t>
        </is>
      </c>
      <c r="C47" s="27" t="inlineStr">
        <is>
          <t>Veteran</t>
        </is>
      </c>
      <c r="D47" s="27" t="inlineStr">
        <is>
          <t>Hauptbank</t>
        </is>
      </c>
    </row>
    <row r="48" ht="15" customHeight="1" s="18">
      <c r="A48" s="23" t="n">
        <v>47</v>
      </c>
      <c r="B48" s="23" t="inlineStr">
        <is>
          <t>gaviiCABJ</t>
        </is>
      </c>
      <c r="C48" s="23" t="inlineStr">
        <is>
          <t>Veteran</t>
        </is>
      </c>
      <c r="D48" s="23" t="inlineStr">
        <is>
          <t>Hauptbank</t>
        </is>
      </c>
    </row>
    <row r="49" ht="15" customHeight="1" s="18">
      <c r="A49" s="27" t="n">
        <v>48</v>
      </c>
      <c r="B49" s="27" t="inlineStr">
        <is>
          <t>UNVSU</t>
        </is>
      </c>
      <c r="C49" s="27" t="inlineStr">
        <is>
          <t>Veteran</t>
        </is>
      </c>
      <c r="D49" s="27" t="inlineStr">
        <is>
          <t>Hauptbank</t>
        </is>
      </c>
    </row>
    <row r="50" ht="15" customHeight="1" s="18">
      <c r="A50" s="23" t="n">
        <v>49</v>
      </c>
      <c r="B50" s="23" t="inlineStr">
        <is>
          <t>Angelina38</t>
        </is>
      </c>
      <c r="C50" s="23" t="inlineStr">
        <is>
          <t>Veteran</t>
        </is>
      </c>
      <c r="D50" s="23" t="inlineStr">
        <is>
          <t>Hauptbank</t>
        </is>
      </c>
    </row>
    <row r="51" ht="15" customHeight="1" s="18">
      <c r="A51" s="27" t="n">
        <v>50</v>
      </c>
      <c r="B51" s="27" t="inlineStr">
        <is>
          <t>eroi</t>
        </is>
      </c>
      <c r="C51" s="27" t="inlineStr">
        <is>
          <t>Veteran</t>
        </is>
      </c>
      <c r="D51" s="27" t="inlineStr">
        <is>
          <t>Hauptbank</t>
        </is>
      </c>
    </row>
    <row r="52" ht="15" customHeight="1" s="18">
      <c r="A52" s="23" t="n">
        <v>51</v>
      </c>
      <c r="B52" s="23" t="inlineStr">
        <is>
          <t>King Slayer</t>
        </is>
      </c>
      <c r="C52" s="23" t="inlineStr">
        <is>
          <t>Veteran</t>
        </is>
      </c>
      <c r="D52" s="23" t="inlineStr">
        <is>
          <t>Hauptbank</t>
        </is>
      </c>
    </row>
    <row r="53" ht="15" customHeight="1" s="18">
      <c r="A53" s="27" t="n">
        <v>52</v>
      </c>
      <c r="B53" s="27" t="inlineStr">
        <is>
          <t>invisible</t>
        </is>
      </c>
      <c r="C53" s="27" t="inlineStr">
        <is>
          <t>Veteran</t>
        </is>
      </c>
      <c r="D53" s="27" t="inlineStr">
        <is>
          <t>Hauptbank</t>
        </is>
      </c>
    </row>
    <row r="54" ht="15" customHeight="1" s="18">
      <c r="A54" s="23" t="n">
        <v>53</v>
      </c>
      <c r="B54" s="23" t="inlineStr">
        <is>
          <t>Jamaman</t>
        </is>
      </c>
      <c r="C54" s="23" t="inlineStr">
        <is>
          <t>Veteran</t>
        </is>
      </c>
      <c r="D54" s="23" t="inlineStr">
        <is>
          <t>Hauptbank</t>
        </is>
      </c>
    </row>
    <row r="55" ht="15" customHeight="1" s="18">
      <c r="A55" s="27" t="n">
        <v>54</v>
      </c>
      <c r="B55" s="27" t="inlineStr">
        <is>
          <t>Maginad</t>
        </is>
      </c>
      <c r="C55" s="27" t="inlineStr">
        <is>
          <t>Veteran</t>
        </is>
      </c>
      <c r="D55" s="27" t="inlineStr">
        <is>
          <t>Hauptbank</t>
        </is>
      </c>
    </row>
    <row r="56" ht="15" customHeight="1" s="18">
      <c r="A56" s="23" t="n">
        <v>55</v>
      </c>
      <c r="B56" s="23" t="inlineStr">
        <is>
          <t>AyBars</t>
        </is>
      </c>
      <c r="C56" s="23" t="inlineStr">
        <is>
          <t>Veteran</t>
        </is>
      </c>
      <c r="D56" s="23" t="inlineStr">
        <is>
          <t>Hauptbank</t>
        </is>
      </c>
    </row>
    <row r="57" ht="15" customHeight="1" s="18">
      <c r="A57" s="27" t="n">
        <v>56</v>
      </c>
      <c r="B57" s="27" t="inlineStr">
        <is>
          <t>PABLUS</t>
        </is>
      </c>
      <c r="C57" s="27" t="inlineStr">
        <is>
          <t>Veteran</t>
        </is>
      </c>
      <c r="D57" s="27" t="inlineStr">
        <is>
          <t>Hauptbank</t>
        </is>
      </c>
    </row>
    <row r="58" ht="15" customHeight="1" s="18">
      <c r="A58" s="23" t="n">
        <v>57</v>
      </c>
      <c r="B58" s="23" t="inlineStr">
        <is>
          <t>Orodrafin</t>
        </is>
      </c>
      <c r="C58" s="23" t="inlineStr">
        <is>
          <t>Veteran</t>
        </is>
      </c>
      <c r="D58" s="23" t="inlineStr">
        <is>
          <t>Hauptbank</t>
        </is>
      </c>
    </row>
    <row r="59" ht="15" customHeight="1" s="18">
      <c r="A59" s="27" t="n">
        <v>58</v>
      </c>
      <c r="B59" s="27" t="inlineStr">
        <is>
          <t>Itachi</t>
        </is>
      </c>
      <c r="C59" s="27" t="inlineStr">
        <is>
          <t>Veteran</t>
        </is>
      </c>
      <c r="D59" s="27" t="inlineStr">
        <is>
          <t>Hauptbank</t>
        </is>
      </c>
    </row>
    <row r="60" ht="15" customHeight="1" s="18">
      <c r="A60" s="23" t="n">
        <v>59</v>
      </c>
      <c r="B60" s="23" t="inlineStr">
        <is>
          <t>Burigas</t>
        </is>
      </c>
      <c r="C60" s="23" t="inlineStr">
        <is>
          <t>Veteran</t>
        </is>
      </c>
      <c r="D60" s="23" t="inlineStr">
        <is>
          <t>Hauptbank</t>
        </is>
      </c>
    </row>
    <row r="61" ht="15" customHeight="1" s="18">
      <c r="A61" s="27" t="n">
        <v>60</v>
      </c>
      <c r="B61" s="27" t="inlineStr">
        <is>
          <t>cezar1</t>
        </is>
      </c>
      <c r="C61" s="27" t="inlineStr">
        <is>
          <t>Veteran</t>
        </is>
      </c>
      <c r="D61" s="27" t="inlineStr">
        <is>
          <t>Hauptbank</t>
        </is>
      </c>
    </row>
    <row r="62" ht="15" customHeight="1" s="18">
      <c r="A62" s="23" t="n">
        <v>61</v>
      </c>
      <c r="B62" s="23" t="inlineStr">
        <is>
          <t>Ayanin</t>
        </is>
      </c>
      <c r="C62" s="23" t="inlineStr">
        <is>
          <t>Veteran</t>
        </is>
      </c>
      <c r="D62" s="23" t="inlineStr">
        <is>
          <t>Hauptbank</t>
        </is>
      </c>
    </row>
    <row r="63" ht="15" customHeight="1" s="18">
      <c r="A63" s="27" t="n">
        <v>62</v>
      </c>
      <c r="B63" s="27" t="inlineStr">
        <is>
          <t>Greynelf</t>
        </is>
      </c>
      <c r="C63" s="27" t="inlineStr">
        <is>
          <t>Veteran</t>
        </is>
      </c>
      <c r="D63" s="27" t="inlineStr">
        <is>
          <t>Hauptbank</t>
        </is>
      </c>
    </row>
    <row r="64" ht="15" customHeight="1" s="18">
      <c r="A64" s="23" t="n">
        <v>63</v>
      </c>
      <c r="B64" s="23" t="inlineStr">
        <is>
          <t>Ria</t>
        </is>
      </c>
      <c r="C64" s="23" t="inlineStr">
        <is>
          <t>Veteran</t>
        </is>
      </c>
      <c r="D64" s="23" t="inlineStr">
        <is>
          <t>Hauptbank</t>
        </is>
      </c>
    </row>
    <row r="65" ht="15" customHeight="1" s="18">
      <c r="A65" s="23" t="n">
        <v>64</v>
      </c>
      <c r="B65" s="23" t="inlineStr">
        <is>
          <t>Vudorr</t>
        </is>
      </c>
      <c r="C65" s="23" t="inlineStr">
        <is>
          <t>Veteran</t>
        </is>
      </c>
      <c r="D65" s="23" t="inlineStr">
        <is>
          <t>Hauptbank</t>
        </is>
      </c>
    </row>
    <row r="66" ht="15" customHeight="1" s="18">
      <c r="A66" s="27" t="n">
        <v>65</v>
      </c>
      <c r="B66" s="27" t="inlineStr">
        <is>
          <t>Vudor SK6</t>
        </is>
      </c>
      <c r="C66" s="27" t="inlineStr">
        <is>
          <t>Veteran</t>
        </is>
      </c>
      <c r="D66" s="27" t="inlineStr">
        <is>
          <t>Hauptbank</t>
        </is>
      </c>
    </row>
    <row r="67" ht="15" customHeight="1" s="18">
      <c r="A67" s="31" t="n">
        <v>66</v>
      </c>
      <c r="B67" s="31" t="inlineStr">
        <is>
          <t>Sinem</t>
        </is>
      </c>
      <c r="C67" s="31" t="inlineStr">
        <is>
          <t>Veteran</t>
        </is>
      </c>
      <c r="D67" s="31" t="inlineStr">
        <is>
          <t>Hauptbank</t>
        </is>
      </c>
    </row>
    <row r="68" ht="15" customHeight="1" s="18">
      <c r="A68" s="23" t="n">
        <v>67</v>
      </c>
      <c r="B68" s="23" t="inlineStr">
        <is>
          <t>bjarr</t>
        </is>
      </c>
      <c r="C68" s="23" t="inlineStr">
        <is>
          <t>Soldat</t>
        </is>
      </c>
      <c r="D68" s="23" t="inlineStr">
        <is>
          <t>Hauptbank</t>
        </is>
      </c>
    </row>
    <row r="69" ht="15" customHeight="1" s="18">
      <c r="A69" s="27" t="n">
        <v>68</v>
      </c>
      <c r="B69" s="27" t="inlineStr">
        <is>
          <t>Lanfir</t>
        </is>
      </c>
      <c r="C69" s="27" t="inlineStr">
        <is>
          <t>Soldat</t>
        </is>
      </c>
      <c r="D69" s="27" t="inlineStr">
        <is>
          <t>Hauptbank</t>
        </is>
      </c>
    </row>
    <row r="70" ht="15" customHeight="1" s="18">
      <c r="A70" s="23" t="n">
        <v>69</v>
      </c>
      <c r="B70" s="23" t="inlineStr">
        <is>
          <t>Cologne am Rhein</t>
        </is>
      </c>
      <c r="C70" s="23" t="inlineStr">
        <is>
          <t>Soldat</t>
        </is>
      </c>
      <c r="D70" s="23" t="inlineStr">
        <is>
          <t>Hauptbank</t>
        </is>
      </c>
    </row>
    <row r="71" ht="15" customHeight="1" s="18">
      <c r="A71" s="23" t="n">
        <v>70</v>
      </c>
      <c r="B71" s="23" t="inlineStr">
        <is>
          <t>SaturdayNightFever</t>
        </is>
      </c>
      <c r="C71" s="23" t="inlineStr">
        <is>
          <t>Soldat</t>
        </is>
      </c>
      <c r="D71" s="23" t="inlineStr">
        <is>
          <t>Hauptbank</t>
        </is>
      </c>
    </row>
    <row r="72" ht="15" customHeight="1" s="18">
      <c r="A72" s="27" t="n">
        <v>71</v>
      </c>
      <c r="B72" s="27" t="inlineStr">
        <is>
          <t>eroi2</t>
        </is>
      </c>
      <c r="C72" s="27" t="inlineStr">
        <is>
          <t>Soldat</t>
        </is>
      </c>
      <c r="D72" s="27" t="inlineStr">
        <is>
          <t>Hauptbank</t>
        </is>
      </c>
    </row>
    <row r="73" ht="15" customHeight="1" s="18">
      <c r="A73" s="23" t="n">
        <v>72</v>
      </c>
      <c r="B73" s="23" t="inlineStr">
        <is>
          <t>Que</t>
        </is>
      </c>
      <c r="C73" s="23" t="inlineStr">
        <is>
          <t>Soldat</t>
        </is>
      </c>
      <c r="D73" s="23" t="inlineStr">
        <is>
          <t>Hauptbank</t>
        </is>
      </c>
    </row>
    <row r="74" ht="15" customHeight="1" s="18">
      <c r="A74" s="27" t="n">
        <v>73</v>
      </c>
      <c r="B74" s="27" t="inlineStr">
        <is>
          <t>Gigi</t>
        </is>
      </c>
      <c r="C74" s="27" t="inlineStr">
        <is>
          <t>Soldat</t>
        </is>
      </c>
      <c r="D74" s="27" t="inlineStr">
        <is>
          <t>Hauptbank</t>
        </is>
      </c>
    </row>
    <row r="75" ht="15" customHeight="1" s="18"/>
    <row r="76" ht="15" customHeight="1" s="18"/>
    <row r="77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de-DE</dc:language>
  <dcterms:created xmlns:dcterms="http://purl.org/dc/terms/" xmlns:xsi="http://www.w3.org/2001/XMLSchema-instance" xsi:type="dcterms:W3CDTF">2026-10-23T01:07:38Z</dcterms:created>
  <dcterms:modified xmlns:dcterms="http://purl.org/dc/terms/" xmlns:xsi="http://www.w3.org/2001/XMLSchema-instance" xsi:type="dcterms:W3CDTF">2026-10-24T14:03:45Z</dcterms:modified>
  <cp:revision>1</cp:revision>
</cp:coreProperties>
</file>